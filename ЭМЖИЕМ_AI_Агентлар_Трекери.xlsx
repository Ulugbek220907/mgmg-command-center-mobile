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ЙЎРИҚНОМА" sheetId="1" state="visible" r:id="rId3"/>
    <sheet name="2-АГЕНТЛАР" sheetId="2" state="visible" r:id="rId4"/>
    <sheet name="3-ХИСОБ" sheetId="3" state="visible" r:id="rId5"/>
    <sheet name="4-БЮДЖЕТ" sheetId="4" state="visible" r:id="rId6"/>
    <sheet name="5-РЕЖА" sheetId="5" state="visible" r:id="rId7"/>
    <sheet name="6-КЕРАКСИЗ" sheetId="6" state="visible" r:id="rId8"/>
    <sheet name="7-ДАШБОРД" sheetId="7" state="visible" r:id="rId9"/>
  </sheets>
  <definedNames>
    <definedName function="false" hidden="true" localSheetId="1" name="_xlnm._FilterDatabase" vbProcedure="false">'2-АГЕНТЛАР'!$A$2:$W$23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<sst xmlns="http://schemas.openxmlformats.org/spreadsheetml/2006/main" count="427" uniqueCount="356">
  <si>
    <t xml:space="preserve">ЭМЖИЕМ — AI АГЕНТЛАР ТРЕКЕРИ  ·  25.08.2026  ·  Эгаси учун</t>
  </si>
  <si>
    <t xml:space="preserve">БУ ФАЙЛ НИМА?</t>
  </si>
  <si>
    <t xml:space="preserve">Қурилиши керак бўлган AI агентларнинг рўйхати ва уларнинг ҳолатини кузатиш жадвали. Ҳар ҳафта якшанба куни очиб, «Ҳолат» устунини янгилаб борилади.</t>
  </si>
  <si>
    <t xml:space="preserve">ВАРАҚЛАР</t>
  </si>
  <si>
    <t xml:space="preserve">2-АГЕНТЛАР — асосий рўйхат (21 агент). Шу ерда ишлайсиз.</t>
  </si>
  <si>
    <t xml:space="preserve">3-ХИСОБ — пул ва вақт ҳисоби. Сариқ катакчаларни ўзгартирсангиз ҳамма рақам қайта ҳисобланади.</t>
  </si>
  <si>
    <t xml:space="preserve">4-БЮДЖЕТ — ойлик ва йиллик харажат, 3 та вариант.</t>
  </si>
  <si>
    <t xml:space="preserve">5-РЕЖА — 90 кунлик босқичма-босқич режа.</t>
  </si>
  <si>
    <t xml:space="preserve">6-КЕРАКСИЗ — қурмаслик керак бўлган агентлар ва сабаби. Пулни тежайдиган варақ.</t>
  </si>
  <si>
    <t xml:space="preserve">7-ДАШБОРД — умумий манзара: нечта агент ишлаяпти, нечтаси турибди.</t>
  </si>
  <si>
    <t xml:space="preserve">ҚАЙСИ КАТАКНИ ТЎЛДИРАМАН?</t>
  </si>
  <si>
    <t xml:space="preserve">САРИҚ фонли катаклар — сиз тўлдирасиз. ОҚ фонли катаклар — формула, тегманг, ўзи ҳисоблайди.</t>
  </si>
  <si>
    <t xml:space="preserve">ШОШИЛИНЧЛИК ҚАНДАЙ ҲИСОБЛАНАДИ?</t>
  </si>
  <si>
    <t xml:space="preserve">Балл = Пул таъсири (1–10) × Эҳтимол (0.1–1.0) × Тўсиқ коэффициенти (1–3)</t>
  </si>
  <si>
    <t xml:space="preserve">Пул таъсири — бу агент компанияга қанча пул олиб келади ёки тежайди (10 = энг кўп).</t>
  </si>
  <si>
    <t xml:space="preserve">Эҳтимол — бу агент ҳақиқатан ишлаб кетиш эҳтимоли (1.0 = аниқ ишлайди).</t>
  </si>
  <si>
    <t xml:space="preserve">Тўсиқ коэффициенти — бу агент бошқа ишларни очиб берадими? 3 = усиз бошқаси ҳаракатланмайди.</t>
  </si>
  <si>
    <t xml:space="preserve">≥18 = КРИТИК   ·   ≥12 = ШОШИЛИНЧ   ·   ≥4.8 = ОДДИЙ   ·   &lt;4.8 = КЕРАКСИЗ</t>
  </si>
  <si>
    <t xml:space="preserve">ОЛТИН ҚОИДА</t>
  </si>
  <si>
    <t xml:space="preserve">Бир вақтда фақат 2 та агент қурилади. Учинчиси биттаси ТЎЛИҚ ишлаб кетмагунча бошланмайди.</t>
  </si>
  <si>
    <t xml:space="preserve">Сабаб: аудит кўрсатди — 11 та бошланган лойиҳадан фақат 2 таси тугалланган.</t>
  </si>
  <si>
    <t xml:space="preserve">ҲАР АГЕНТ УЧУН ТЕКШИРУВ</t>
  </si>
  <si>
    <t xml:space="preserve">И = (Агент тўғри бажарган иш сони) ÷ (Жами уриниш сони).  И ≥ 0.80 бўлса — ишлаяпти, кейингисига ўтинг.</t>
  </si>
  <si>
    <t xml:space="preserve">И &lt; 0.50 бўлса — ТЎХТАНГ. Муаммо технологияда эмас, жараёнда ёки интизомда.</t>
  </si>
  <si>
    <t xml:space="preserve">AI АГЕНТЛАР РЎЙХАТИ — 21 та  ·  Сариқ катакларни сиз тўлдирасиз</t>
  </si>
  <si>
    <t xml:space="preserve">№</t>
  </si>
  <si>
    <t xml:space="preserve">Код</t>
  </si>
  <si>
    <t xml:space="preserve">АГЕНТ НОМИ</t>
  </si>
  <si>
    <t xml:space="preserve">Блок</t>
  </si>
  <si>
    <t xml:space="preserve">НИМА ҚИЛАДИ</t>
  </si>
  <si>
    <t xml:space="preserve">НИМА УЧУН КЕРАК (аудит далили)</t>
  </si>
  <si>
    <t xml:space="preserve">Платформа</t>
  </si>
  <si>
    <t xml:space="preserve">Масъул</t>
  </si>
  <si>
    <t xml:space="preserve">ҲОЛАТ</t>
  </si>
  <si>
    <t xml:space="preserve">Пул таъсири 1–10</t>
  </si>
  <si>
    <t xml:space="preserve">Эҳтимол 0.1–1</t>
  </si>
  <si>
    <t xml:space="preserve">Тўсиқ коэф. 1–3</t>
  </si>
  <si>
    <t xml:space="preserve">БАЛЛ</t>
  </si>
  <si>
    <t xml:space="preserve">ШОШИЛИНЧЛИК</t>
  </si>
  <si>
    <t xml:space="preserve">Қуриш вақти, соат</t>
  </si>
  <si>
    <t xml:space="preserve">Ойлик вақт тежови, соат</t>
  </si>
  <si>
    <t xml:space="preserve">Йиллик фойда МАКС, $</t>
  </si>
  <si>
    <t xml:space="preserve">Йиллик фойда РЕАЛ, $</t>
  </si>
  <si>
    <t xml:space="preserve">Ойлик харажат, $</t>
  </si>
  <si>
    <t xml:space="preserve">Йиллик харажат, $</t>
  </si>
  <si>
    <t xml:space="preserve">ROI (фақат API), %</t>
  </si>
  <si>
    <t xml:space="preserve">Бошланиш</t>
  </si>
  <si>
    <t xml:space="preserve">Тугаш</t>
  </si>
  <si>
    <t xml:space="preserve">H0</t>
  </si>
  <si>
    <t xml:space="preserve">AI УЛОВЧИ (МАРКАЗИЙ ҲУБ)</t>
  </si>
  <si>
    <t xml:space="preserve">0. ИНФРАТУЗИЛМА</t>
  </si>
  <si>
    <t xml:space="preserve">Барча агентларнинг «электр тармоғи». Telegram, WhatsApp, Instagram, Outlook, Excel, SAP B1 (фақат ўқиш) ва Claude/ChatGPT'ни битта жойда улайди. Ҳар агент шу ҳубнинг ичида битта «занжир» бўлиб яшайди.</t>
  </si>
  <si>
    <t xml:space="preserve">Ҳозир ҳар маълумот алоҳида жойда: дафтарча, Telegram, SAP, 1C, Didox. Улар ўзаро гаплашмайди. Ҳуб бўлмаса ҳар агентни нолдан қуриш керак.</t>
  </si>
  <si>
    <t xml:space="preserve">n8n (ўз серверда) + Claude API</t>
  </si>
  <si>
    <t xml:space="preserve">Абдулбосит (IT)</t>
  </si>
  <si>
    <t xml:space="preserve">ЯРАТИЛМАГАН</t>
  </si>
  <si>
    <t xml:space="preserve">A1</t>
  </si>
  <si>
    <t xml:space="preserve">КУНДАЛИК ҲИСОБОТ ЙИҒУВЧИ</t>
  </si>
  <si>
    <t xml:space="preserve">A. НАЗОРАТ</t>
  </si>
  <si>
    <t xml:space="preserve">Ҳар куни 17:30 да ҳар бир ходимга Telegram орқали ўзи савол беради, жавобни ажратиб жадвалга ёзади, 18:30 да Эгасига битта умумий хулоса юборади. Жавоб бермаганларни рўйхатга олади.</t>
  </si>
  <si>
    <t xml:space="preserve">Аудит: ёзма ҳисоботлар бор, лекин фақат Эгаси эслатганда келади. 22 ходимдан фақат 3–4 таси ўзи ишлайди.</t>
  </si>
  <si>
    <t xml:space="preserve">n8n + Telegram + Excel/SharePoint + Claude</t>
  </si>
  <si>
    <t xml:space="preserve">Муҳаммад</t>
  </si>
  <si>
    <t xml:space="preserve">A2</t>
  </si>
  <si>
    <t xml:space="preserve">5 РАҚАМ ДАШБОРДИ</t>
  </si>
  <si>
    <t xml:space="preserve">Ҳар куни эрталаб 5 та рақамни битта экранда кўрсатади: касса, кечаги сотув, захира қиймати, мижоз қарзи, бугунги тўловлар. Рақам чегарадан чиқса — дарҳол огоҳлантиради.</t>
  </si>
  <si>
    <t xml:space="preserve">Аудит: SAP B1 дан бирорта ҳисобот олинмайди. Эгаси P&amp;L ўқимайди, фақат банк қолдиғига қарайди. Феврал ва март зарар бўлгани ой тугагандан кейин билинди.</t>
  </si>
  <si>
    <t xml:space="preserve">n8n + SAP B1 (ўқиш) + Excel + Power BI ёки Telegram</t>
  </si>
  <si>
    <t xml:space="preserve">Зайнаб + Абдулбосит</t>
  </si>
  <si>
    <t xml:space="preserve">A3</t>
  </si>
  <si>
    <t xml:space="preserve">ТОПШИРИҚ КУЗАТУВЧИ (ТУРТКИ АГЕНТИ)</t>
  </si>
  <si>
    <t xml:space="preserve">Йиғилишда ёки чатда берилган ҳар топшириқни ушлаб қолади, муддат қўяди, муддат яқинлашганда эслатади, ўтиб кетса Эгасига хабар беради. Эгаси ҳеч кимни қўлда эслатмайди.</t>
  </si>
  <si>
    <t xml:space="preserve">Аудит: 11 та бошланган лойиҳадан 2 таси тугалланган, 6 таси тўхтаган. Ходимлар эслатилмаса ишламайди.</t>
  </si>
  <si>
    <t xml:space="preserve">n8n + Telegram + Microsoft Planner/To Do</t>
  </si>
  <si>
    <t xml:space="preserve">A4</t>
  </si>
  <si>
    <t xml:space="preserve">ДАВОМАТ АГЕНТИ (КИРИШ–ЧИҚИШ)</t>
  </si>
  <si>
    <t xml:space="preserve">Ходим ишга келганда ва кетганда Telegram'га белги қўяди (ёки Verifix маълумотини олади), кечикишни санайди, ҳафталик жадвал беради.</t>
  </si>
  <si>
    <t xml:space="preserve">Аудит: 3–5 ходим эртага кетса компания ҳеч нарса йўқотмайди — лекин ким қанча ишлаётгани ўлчанмайди.</t>
  </si>
  <si>
    <t xml:space="preserve">n8n + Verifix + Telegram</t>
  </si>
  <si>
    <t xml:space="preserve">Нодира (HR)</t>
  </si>
  <si>
    <t xml:space="preserve">B1</t>
  </si>
  <si>
    <t xml:space="preserve">ТЎЛОВ ДАРВОЗАСИ</t>
  </si>
  <si>
    <t xml:space="preserve">Б. МОЛИЯ</t>
  </si>
  <si>
    <t xml:space="preserve">Барча тўлов сўровлари фақат битта Telegram шаклидан ўтади. Агент суммани текширади, лимитдан кам бўлса автоматик рухсат беради, кўп бўлса Эгасига «Ҳа/Йўқ» тугмаси билан юборади. Ҳар тўлов ёзиб борилади.</t>
  </si>
  <si>
    <t xml:space="preserve">Аудит: тўлов сўровлари бўлим бошлиқлари, бухгалтерия ва Эгасидан аралаш келади — ягона канал йўқ. Лимит бор, лекин ёзилмаган.</t>
  </si>
  <si>
    <t xml:space="preserve">n8n + Telegram + Excel</t>
  </si>
  <si>
    <t xml:space="preserve">Улуғбек + Зайнаб</t>
  </si>
  <si>
    <t xml:space="preserve">B2</t>
  </si>
  <si>
    <t xml:space="preserve">30-КУНЛИК ПУЛ КАЛЕНДАРИ</t>
  </si>
  <si>
    <t xml:space="preserve">Келгуси 30 кунда қайси кун қанча пул кириши ва чиқиши кутилаётганини кўрсатади. Пул етмайдиган кунни олдиндан қизил қилиб белгилайди.</t>
  </si>
  <si>
    <t xml:space="preserve">Аудит: 30 кунлик пул режаси умуман йўқ — тўловлар талаб келганда қилинади. Пул айланиши 145 кун.</t>
  </si>
  <si>
    <t xml:space="preserve">n8n + Excel + SAP B1</t>
  </si>
  <si>
    <t xml:space="preserve">Зайнаб</t>
  </si>
  <si>
    <t xml:space="preserve">B3</t>
  </si>
  <si>
    <t xml:space="preserve">СОЛИШТИРУВ АГЕНТИ (БАНК ↔ SAP ↔ 1C ↔ Didox)</t>
  </si>
  <si>
    <t xml:space="preserve">Ҳар куни тўрт манбадаги рақамни солиштиради ва фарқ чиққан ҳар қаторни рўйхат қилиб беради. Одам фақат фарқни кўради, ҳаммасини эмас.</t>
  </si>
  <si>
    <t xml:space="preserve">Аудит: банк ↔ SAP ↔ 1C рақамларини ҳеч ким солиштирмайди. Эгаси айтган 200 млн сўмлик ой бюджети ҳақиқий $32K харажатнинг ярми — яъни харажатнинг ярми кўринмаган.</t>
  </si>
  <si>
    <t xml:space="preserve">n8n + SAP B1 + 1C + Didox + Excel</t>
  </si>
  <si>
    <t xml:space="preserve">B4</t>
  </si>
  <si>
    <t xml:space="preserve">ХАТОЛИК ВА ЕТИШМАЁТГАН МАЪЛУМОТ ДЕТЕКТОРИ</t>
  </si>
  <si>
    <t xml:space="preserve">Ҳар файл ва базани текширади: таннархи йўқ товар, икки омборда турган бир код, ёпилган лойиҳада қолган мол, санаси йўқ қатор, нархи нолга тенг сатр. Топганини рўйхат қилиб масъулга юборади.</t>
  </si>
  <si>
    <t xml:space="preserve">Ўлчанган далил: омбор файлида 182 та код икки омборда — $156,381; ёпилган SPOTX омборларида $99,935 мол; 4 та кимё позициясида таннарх йўқ; 5 позиция 485 кундан бери «кўчада» омборида.</t>
  </si>
  <si>
    <t xml:space="preserve">n8n + Claude + Excel + SAP B1</t>
  </si>
  <si>
    <t xml:space="preserve">Отабек + Абдулбосит</t>
  </si>
  <si>
    <t xml:space="preserve">C1</t>
  </si>
  <si>
    <t xml:space="preserve">ЛИД ЙИҒУВЧИ (Telegram + WhatsApp + Instagram)</t>
  </si>
  <si>
    <t xml:space="preserve">В. САВДО</t>
  </si>
  <si>
    <t xml:space="preserve">Уч канал (Telegram, WhatsApp, Instagram Direct) га келган ҳар сўровни ушлаб, мижоз номи, талаб ва телефонини ажратиб CRM'га ёзади, менежерга бириктиради ва 2 соат ичида жавоб берилмаса эслатади.</t>
  </si>
  <si>
    <t xml:space="preserve">Аудит: янги мижоз сўровлари менежернинг шахсий телефони ва дафтарчасида қолади — AmoCRM'га тушмайди. 12 ойда фақат 0–5 та янги B2B мижоз қўшилган.</t>
  </si>
  <si>
    <t xml:space="preserve">n8n + WhatsApp Business API + Instagram + AmoCRM/Bitrix24 + Claude</t>
  </si>
  <si>
    <t xml:space="preserve">B2B савдо бўлими</t>
  </si>
  <si>
    <t xml:space="preserve">C2</t>
  </si>
  <si>
    <t xml:space="preserve">ПРОГНОЗ ВА МАҚСАД ТАРҚАТУВЧИ</t>
  </si>
  <si>
    <t xml:space="preserve">Эски сотув маълумотини ўқийди, мавсумийликни топади, келгуси ой ва чоракка прогноз беради, компания режасини ҳар менежерга кунлик рақамгача бўлиб беради ва бажарилишини кузатади.</t>
  </si>
  <si>
    <t xml:space="preserve">Аудит: йиллик ҳам, чораклик ҳам сотув прогнози умуман тайёрланмайди. Ой режалари бор, лекин прогнозга эмас, ҳисга асосланган.</t>
  </si>
  <si>
    <t xml:space="preserve">Claude/ChatGPT + Excel + SAP B1 + n8n</t>
  </si>
  <si>
    <t xml:space="preserve">C3</t>
  </si>
  <si>
    <t xml:space="preserve">ЎЛИК ЗАХИРА СОТУВ АГЕНТИ</t>
  </si>
  <si>
    <t xml:space="preserve">365 кундан ортиқ турган товарни рўйхатлайди, ҳар бирига чегирма нархи ва мақсадли мижоз рўйхатини тайёрлайди, ҳафтада бир марта таклиф хати юборади ва жавобларни санайди.</t>
  </si>
  <si>
    <t xml:space="preserve">Ўлчанган далил: 365+ кун турган ўлик захира $45,003 (127 позиция); умумий захира $486,733; захира айланиши йилига атиги 1.43 марта = 256 кунлик мол.</t>
  </si>
  <si>
    <t xml:space="preserve">Claude + Excel + n8n + WhatsApp/Email</t>
  </si>
  <si>
    <t xml:space="preserve">Ғиёсиддин + Отабек</t>
  </si>
  <si>
    <t xml:space="preserve">C4</t>
  </si>
  <si>
    <t xml:space="preserve">СЕРВИС ВА ШАРТНОМА АГЕНТИ</t>
  </si>
  <si>
    <t xml:space="preserve">Мижоздаги ҳар машинани рўйхатда тутади, техник хизмат муддати келганда мижозга ҳам, техникка ҳам ўзи хабар беради, шартнома таклифини тайёрлайди, эҳтиёт қисм буюртмасини эслатади.</t>
  </si>
  <si>
    <t xml:space="preserve">Аудит: мижозда 200 гача Primus/Alliance машинаси ишлаяпти, лекин 10% дан камида пуллик хизмат шартномаси бор. Носозликка жавоб 3–7 кун.</t>
  </si>
  <si>
    <t xml:space="preserve">n8n + Excel/SAP B1 + WhatsApp + Telegram</t>
  </si>
  <si>
    <t xml:space="preserve">Ғиёсиддин</t>
  </si>
  <si>
    <t xml:space="preserve">C5</t>
  </si>
  <si>
    <t xml:space="preserve">МИЖОЗ ҚАЙТАРИШ АГЕНТИ</t>
  </si>
  <si>
    <t xml:space="preserve">Бир марта харид қилиб қайтмаган мижозларни топади, ҳар бирига сабаб сўраш хати юборади, жавобни таснифлайди ва менежерга топшириқ очади.</t>
  </si>
  <si>
    <t xml:space="preserve">Аудит: ~35 та бир марталик мижоз бошқа ҳеч қачон қайта алоқа қилинмаган ва «нега қайтмадингиз» деб сўралмаган. Мижозларнинг 30% дан ками қайта харид қилган.</t>
  </si>
  <si>
    <t xml:space="preserve">n8n + AmoCRM + Claude + Email/WhatsApp</t>
  </si>
  <si>
    <t xml:space="preserve">D1</t>
  </si>
  <si>
    <t xml:space="preserve">ЗАХИРА ВА БУЮРТМА СИГНАЛИ</t>
  </si>
  <si>
    <t xml:space="preserve">Г. ОПЕРАЦИЯ</t>
  </si>
  <si>
    <t xml:space="preserve">Ҳар товарнинг сотув тезлигини ҳисоблайди, неча кунга етишини айтади, тугашига 45 кун қолганда буюртма лойиҳасини ўзи тайёрлаб Эгасига беради — Эгаси фақат тасдиқлайди.</t>
  </si>
  <si>
    <t xml:space="preserve">Аудит: Эгаси тўрт таъминот занжирида ҳам буюртмани шахсан қилади; банд бўлгани учун буюртма кечикади ва сотув тўхтайди. Сотув тарихи буюртмадан олдин «эсласак» текширилади.</t>
  </si>
  <si>
    <t xml:space="preserve">n8n + SAP B1 + Excel + Claude</t>
  </si>
  <si>
    <t xml:space="preserve">Муҳаммад (лойиҳа) → Эгаси (тасдиқ)</t>
  </si>
  <si>
    <t xml:space="preserve">D2</t>
  </si>
  <si>
    <t xml:space="preserve">ҲУЖЖАТ ВА СЕРТИФИКАТ АГЕНТИ</t>
  </si>
  <si>
    <t xml:space="preserve">Ҳар юк учун керакли ҳужжат рўйхатини очади (Unicon, Asl, маркировка, божхона), муддатларни кузатади, етишмаган ҳужжатни эслатади ва тайёр шаклларни тўлдиради.</t>
  </si>
  <si>
    <t xml:space="preserve">Аудит: сертификатлаш жараёнини ўрганиш бир кишига (Отабек) энди топширилди — ҳозирча тизим йўқ, ҳар сафар қўлда.</t>
  </si>
  <si>
    <t xml:space="preserve">n8n + SharePoint + Claude</t>
  </si>
  <si>
    <t xml:space="preserve">Отабек</t>
  </si>
  <si>
    <t xml:space="preserve">E1</t>
  </si>
  <si>
    <t xml:space="preserve">KPI ВА OKR ҲИСОБЛАГИЧ</t>
  </si>
  <si>
    <t xml:space="preserve">Д. ОДАМЛАР</t>
  </si>
  <si>
    <t xml:space="preserve">Ҳар ходим учун 3 тадан кўп бўлмаган рақамни ҳар ҳафта ўзи ҳисоблайди (сотув, маржа, жавоб тезлиги), чорак мақсадига нисбатан фоизни кўрсатади ва бонусни ҳисоблаб беради.</t>
  </si>
  <si>
    <t xml:space="preserve">Аудит: бонуслар айланмадан ҳисобланади, лекин ҳисоб қўлда. 22 ходимдан 3–4 таси A-даражали — қолганини ўлчайдиган тизим йўқ.</t>
  </si>
  <si>
    <t xml:space="preserve">Excel + n8n + SAP B1 + Claude</t>
  </si>
  <si>
    <t xml:space="preserve">Муҳаммад + Нодира</t>
  </si>
  <si>
    <t xml:space="preserve">E2</t>
  </si>
  <si>
    <t xml:space="preserve">AI ОПЕРАЦИЯ МЕНЕЖЕРИ (СУПЕР-АГЕНТ)</t>
  </si>
  <si>
    <t xml:space="preserve">Юқоридаги барча агентларнинг устидан туради. Эрталаб: бугунги 3 та муҳим иш, кечаги рақамлар, огоҳлантиришлар. Кечқурун: ким нима қилди, нима бажарилмади, эртага нима. Ҳафтада: ким режани бажармаяпти ва нима қилиш керак.</t>
  </si>
  <si>
    <t xml:space="preserve">Аудит: Бош директор ўрни бўш, Эгаси ўзи директор вазифасини бажаряпти ва ҳафтасига 70+ соат ишлаяпти. Кундалик қарорларнинг 50–80% и Эгасидан ўтади.</t>
  </si>
  <si>
    <t xml:space="preserve">Claude (Project + Skills) + n8n + барча агент маълумоти</t>
  </si>
  <si>
    <t xml:space="preserve">Эгаси + Муҳаммад</t>
  </si>
  <si>
    <t xml:space="preserve">F1</t>
  </si>
  <si>
    <t xml:space="preserve">МАРКЕТИНГ ВА КОНТЕНТ АГЕНТИ</t>
  </si>
  <si>
    <t xml:space="preserve">Е. МАРКЕТИНГ</t>
  </si>
  <si>
    <t xml:space="preserve">Garmin учун ойлик контент режасини тузади, пост матнларини тайёрлайди, Instagram статистикасини йиғади ва қайси пост сотувга олиб келганини кўрсатади.</t>
  </si>
  <si>
    <t xml:space="preserve">Аудит: маркетингга йилига $36–40K кетади, бироқ эгаси йўқ; Garmin HQ берган Sprinklr/DRC воситаларининг атиги ~30% и ишлатилади. Жаҳон чемпионати спонсорлигига $50,000 сарфланиб натижа бўлмаган.</t>
  </si>
  <si>
    <t xml:space="preserve">Claude/ChatGPT + n8n + Instagram + Excel</t>
  </si>
  <si>
    <t xml:space="preserve">Амин (контент)</t>
  </si>
  <si>
    <t xml:space="preserve">F2</t>
  </si>
  <si>
    <t xml:space="preserve">ТЕНДЕР ВА B2G КУЗАТУВЧИ</t>
  </si>
  <si>
    <t xml:space="preserve">xarid.uz, xt-xarid, etender.uzex ва донор эълонларини (UNGM, EBRD, ADB, World Bank) ҳар куни текшириб, мос лотларни фильтрлаб юборади.</t>
  </si>
  <si>
    <t xml:space="preserve">Аудит: ҳозир айланманинг 0% и давлат мижозларидан — яъни бу бутунлай янги канал. Шунинг учун фойдаси исботланмаган, аввал текшириш керак.</t>
  </si>
  <si>
    <t xml:space="preserve">n8n + веб кузатув + Claude</t>
  </si>
  <si>
    <t xml:space="preserve">G1</t>
  </si>
  <si>
    <t xml:space="preserve">ЭГАСИНИНГ ШАХСИЙ АССИСТЕНТИ</t>
  </si>
  <si>
    <t xml:space="preserve">Ж. ШАХСИЙ</t>
  </si>
  <si>
    <t xml:space="preserve">Эгасининг почтасини сараладi, жавоб лойиҳаларини ёзади, кун тартибини тузади, келишувларни эслатади, ўқиш режасини кузатади ва ҳафтада бир марта «бу ҳафта вақтингиз қаерга кетди» ҳисоботини беради.</t>
  </si>
  <si>
    <t xml:space="preserve">Аудит: Эгаси ҳафтасига 70+ соат ишлайди ва бу вақт асосан «ёнғин ўчириш»га кетади — молия ва назоратга эмас. Мақсад: 2027 йилга қадар ҳафтасига 10 соатдан кам иштирок.</t>
  </si>
  <si>
    <t xml:space="preserve">Claude (Project) + Outlook (M365) + n8n</t>
  </si>
  <si>
    <t xml:space="preserve">Эгаси</t>
  </si>
  <si>
    <t xml:space="preserve">ЖАМИ</t>
  </si>
  <si>
    <t xml:space="preserve">ПУЛ ВА ВАҚТ ҲИСОБИ — ФАРАЗЛАР ВА ФОРМУЛАЛАР</t>
  </si>
  <si>
    <t xml:space="preserve">КЎРСАТКИЧ</t>
  </si>
  <si>
    <t xml:space="preserve">ҚИЙМАТ</t>
  </si>
  <si>
    <t xml:space="preserve">БИРЛИК</t>
  </si>
  <si>
    <t xml:space="preserve">ИЗОҲ / МАНБА</t>
  </si>
  <si>
    <t xml:space="preserve">КОМПАНИЯ АСОСИ (SAP B1, янв–май 2026)</t>
  </si>
  <si>
    <t xml:space="preserve">Йиллик айланма (run-rate)</t>
  </si>
  <si>
    <t xml:space="preserve">$</t>
  </si>
  <si>
    <t xml:space="preserve">SAP B1: 5 ойда $496.7K → йилликка ўтказилган. Манба: Эгаси юклаган P&amp;L файли</t>
  </si>
  <si>
    <t xml:space="preserve">Соф фойда, йиллик</t>
  </si>
  <si>
    <t xml:space="preserve">Соф маржа 9.0%. Манба: ўша P&amp;L</t>
  </si>
  <si>
    <t xml:space="preserve">Ойлик доимий харажат (OpEx)</t>
  </si>
  <si>
    <t xml:space="preserve">$32,040 ойлик OpEx'дан бир марталик $12.7K чиқарилгандан кейин</t>
  </si>
  <si>
    <t xml:space="preserve">Ходим сони</t>
  </si>
  <si>
    <t xml:space="preserve">киши</t>
  </si>
  <si>
    <t xml:space="preserve">Эгаси берган рақам</t>
  </si>
  <si>
    <t xml:space="preserve">Захира қиймати (таннархда)</t>
  </si>
  <si>
    <t xml:space="preserve">22.08.2026 омбор файли, 935 позиция, 8,474 дона</t>
  </si>
  <si>
    <t xml:space="preserve">РЕАЛЛАШИШ КОЭФФИЦИЕНТИ</t>
  </si>
  <si>
    <t xml:space="preserve">×</t>
  </si>
  <si>
    <t xml:space="preserve">ЭНГ МУҲИМ КАТАК. Ҳисобланган фойданинг қанча қисми ҳақиқатан келади деб ҳисоблаймиз. 0.5 = яримини оламиз (эҳтиёткор). 1.0 = ҳаммаси келади (оптимист). Ўзгартиринг — 2-варақдаги «РЕАЛ фойда» устуни қайта ҳисобланади.</t>
  </si>
  <si>
    <t xml:space="preserve">ВАҚТ ҲИСОБИ</t>
  </si>
  <si>
    <t xml:space="preserve">Барча агентлар тежайдиган вақт, ойига</t>
  </si>
  <si>
    <t xml:space="preserve">соат</t>
  </si>
  <si>
    <t xml:space="preserve">2-варақдан автоматик</t>
  </si>
  <si>
    <t xml:space="preserve">Шундан Эгасининг вақти (тахмин 40%)</t>
  </si>
  <si>
    <t xml:space="preserve">A1, A3, B1, D1, E2, G1 агентлари асосан Эгасининг вақтини бўшатади. 40% — ФАРАЗ, ўлчанмаган.</t>
  </si>
  <si>
    <t xml:space="preserve">Эгасининг ҳозирги ҳафталик иши</t>
  </si>
  <si>
    <t xml:space="preserve">Аудит: 70+ соат/ҳафта</t>
  </si>
  <si>
    <t xml:space="preserve">Агентлардан кейинги ҳафталик иш</t>
  </si>
  <si>
    <t xml:space="preserve">Ҳозирги минус тежалган вақт ÷ 4.33 ҳафта</t>
  </si>
  <si>
    <t xml:space="preserve">ПУЛ ҲИСОБИ</t>
  </si>
  <si>
    <t xml:space="preserve">Йиллик фойда — МАКСИМАЛ (назарий)</t>
  </si>
  <si>
    <t xml:space="preserve">Ҳамма агент 100% ишлаган ҳолда</t>
  </si>
  <si>
    <t xml:space="preserve">Йиллик фойда — РЕАЛ (коэффициент билан)</t>
  </si>
  <si>
    <t xml:space="preserve">Максимал × реаллашиш коэффициенти</t>
  </si>
  <si>
    <t xml:space="preserve">Йиллик харажат (агент + лицензия)</t>
  </si>
  <si>
    <t xml:space="preserve">4-БЮДЖЕТ варағидаги 2-ВАРИАНТ (тавсия этилган) йиллик жамиси. 2-варақдаги ойлик харажат устуни фақат агентнинг ўз API харажати — лицензия ва одам ҳақи унда йўқ, шунинг учун иккита рақам фарқ қилади.</t>
  </si>
  <si>
    <t xml:space="preserve">СОФ ЮТУҚ, йиллик</t>
  </si>
  <si>
    <t xml:space="preserve">Реал фойда минус харажат</t>
  </si>
  <si>
    <t xml:space="preserve">ROI (ҳар 1 доллардан қайтим)</t>
  </si>
  <si>
    <t xml:space="preserve">Соф ютуқ ÷ харажат</t>
  </si>
  <si>
    <t xml:space="preserve">Ўзини қоплаш муддати</t>
  </si>
  <si>
    <t xml:space="preserve">ой</t>
  </si>
  <si>
    <t xml:space="preserve">Йиллик харажат ÷ (реал фойда ÷ 12)</t>
  </si>
  <si>
    <t xml:space="preserve">ТЕКШИРУВ</t>
  </si>
  <si>
    <t xml:space="preserve">Реал фойда — айланманинг % и</t>
  </si>
  <si>
    <t xml:space="preserve">%</t>
  </si>
  <si>
    <t xml:space="preserve">Агар 10% дан ошса — фаразлар жуда оптимист, қайта кўринг</t>
  </si>
  <si>
    <t xml:space="preserve">Реал фойда — соф фойданинг % и</t>
  </si>
  <si>
    <t xml:space="preserve">100% дан ошса — рақамга ишонманг, коэффициентни туширинг</t>
  </si>
  <si>
    <t xml:space="preserve">БЮДЖЕТ — 3 ВАРИАНТ  ·  нархлар 25.08.2026 ҳолатига, расмий саҳифалардан</t>
  </si>
  <si>
    <t xml:space="preserve">ВОСИТА (нима учун)</t>
  </si>
  <si>
    <t xml:space="preserve">НАРХ ҚОИДАСИ</t>
  </si>
  <si>
    <t xml:space="preserve">1-ВАРИАНТ
МИНИМАЛ, $/ой</t>
  </si>
  <si>
    <t xml:space="preserve">2-ВАРИАНТ
ТАВСИЯ ЭТИЛГАН, $/ой</t>
  </si>
  <si>
    <t xml:space="preserve">3-ВАРИАНТ
ТЎЛИҚ, $/ой</t>
  </si>
  <si>
    <t xml:space="preserve">ИЗОҲ</t>
  </si>
  <si>
    <t xml:space="preserve">Claude Team — стандарт ўрин</t>
  </si>
  <si>
    <t xml:space="preserve">$20/ўрин/ой (йиллик тўлов) ёки $25 (ойлик). 2–150 ўрин.</t>
  </si>
  <si>
    <t xml:space="preserve">Расмий: claude.com/pricing. 1-вариант 3 ўрин, 2-вариант 5 ўрин, 3-вариант 10 ўрин.</t>
  </si>
  <si>
    <t xml:space="preserve">Claude API — агентларнинг «мияси»</t>
  </si>
  <si>
    <t xml:space="preserve">Sonnet 5: $2 / 1 млн кирувчи сўз, $10 / 1 млн чиқувчи. Haiku 4.5: $1 / $5.</t>
  </si>
  <si>
    <t xml:space="preserve">Расмий: claude.com/pricing. Оддий ажратиш ишлари Haiku'га берилса нарх 2 баравар тушади.</t>
  </si>
  <si>
    <t xml:space="preserve">ChatGPT Business</t>
  </si>
  <si>
    <t xml:space="preserve">Ҳозир фойдаланилаётган. Нархни расмий саҳифадан ТАСДИҚЛАНГ.</t>
  </si>
  <si>
    <t xml:space="preserve">ТЕКШИРИЛМАГАН РАҚАМ — openai.com/pricing дан ўзингиз тасдиқланг. Бу ерга тахмин ёзилмади.</t>
  </si>
  <si>
    <t xml:space="preserve">n8n — уловчи (ҳуб)</t>
  </si>
  <si>
    <t xml:space="preserve">Ўз серверда (Community) — дастур бепул, фақат сервер ҳақи. Булутда: Starter ~$20–24/ой, Pro ~$50–60/ой.</t>
  </si>
  <si>
    <t xml:space="preserve">Ўз серверда сақлаш маъқул: маълумот компаниядан чиқмайди ва ишга тушириш сони чекланмаган.</t>
  </si>
  <si>
    <t xml:space="preserve">Сервер (VPS, Docker)</t>
  </si>
  <si>
    <t xml:space="preserve">Hetzner/шунга ўхшаш — ойига ~$5–10.</t>
  </si>
  <si>
    <t xml:space="preserve">3-вариантда захира сервер ва кунлик нусха олиш қўшилган.</t>
  </si>
  <si>
    <t xml:space="preserve">WhatsApp Business API</t>
  </si>
  <si>
    <t xml:space="preserve">Ҳар суҳбат учун тўлов — Meta нархи ва провайдер комиссияси.</t>
  </si>
  <si>
    <t xml:space="preserve">ТЕКШИРИЛМАГАН — Wazzup ёки бошқа провайдердан аниқ нарх сўралсин.</t>
  </si>
  <si>
    <t xml:space="preserve">Microsoft 365 Copilot</t>
  </si>
  <si>
    <t xml:space="preserve">Тахминан $30/ходим/ой (Enterprise). SMB варианти ~$18–21 деб хабар қилинган.</t>
  </si>
  <si>
    <t xml:space="preserve">ТЕКШИРИЛМАГАН — microsoft.com расмий саҳифасидан тасдиқланг. Тавсия: 22 ходимга ЭМАС, 3 калит одамга.</t>
  </si>
  <si>
    <t xml:space="preserve">Power BI Pro (дашборд учун)</t>
  </si>
  <si>
    <t xml:space="preserve">Тахминан $10/ходим/ой.</t>
  </si>
  <si>
    <t xml:space="preserve">ТЕКШИРИЛМАГАН. Аввал Excel + Telegram билан бошланг, кейин керак бўлса қўшинг.</t>
  </si>
  <si>
    <t xml:space="preserve">IT/автоматлаштириш мутахассиси</t>
  </si>
  <si>
    <t xml:space="preserve">Ярим ставка ёки аутсорс.</t>
  </si>
  <si>
    <t xml:space="preserve">Энг катта модда. Абдулбосит ўрганса — 0. Аудит: унинг заҳираси йўқ, бу ХАВФ.</t>
  </si>
  <si>
    <t xml:space="preserve">ЖАМИ, ойига</t>
  </si>
  <si>
    <t xml:space="preserve">ЖАМИ, йилига</t>
  </si>
  <si>
    <t xml:space="preserve">Йиллик OpEx'нинг % и</t>
  </si>
  <si>
    <t xml:space="preserve">МУҲИМ: сариқ фонли барча нарх — ТЕКШИРИЛИШИ КЕРАК. Claude нархлари 25.08.2026 да claude.com/pricing расмий саҳифасидан олинди. Microsoft, OpenAI ва WhatsApp нархлари учинчи томон манбаларидан — уларни сотиб олишдан олдин расмий саҳифадан ўзингиз тасдиқланг. Бу ҳужжатда реклама йўқ: ҳар восита учун сабаб ва арзонроқ муқобил кўрсатилган.</t>
  </si>
  <si>
    <t xml:space="preserve">90 КУНЛИК РЕЖА — бир вақтда фақат 2 та агент</t>
  </si>
  <si>
    <t xml:space="preserve">БОСҚИЧ</t>
  </si>
  <si>
    <t xml:space="preserve">КУНЛАР</t>
  </si>
  <si>
    <t xml:space="preserve">АГЕНТЛАР</t>
  </si>
  <si>
    <t xml:space="preserve">БОСҚИЧ ТУГАГАНДА НИМА БЎЛАДИ</t>
  </si>
  <si>
    <t xml:space="preserve">Иш ҳажми, соат</t>
  </si>
  <si>
    <t xml:space="preserve">Тугаш санаси</t>
  </si>
  <si>
    <t xml:space="preserve">1-БОСҚИЧ: ПОЙДЕВОР</t>
  </si>
  <si>
    <t xml:space="preserve">1–14 кун</t>
  </si>
  <si>
    <t xml:space="preserve">H0, A1</t>
  </si>
  <si>
    <t xml:space="preserve">Ҳуб ишлайди, 3 ходим кундалик ҳисоботни ботга ёзади</t>
  </si>
  <si>
    <t xml:space="preserve">2-БОСҚИЧ: НАЗОРАТ</t>
  </si>
  <si>
    <t xml:space="preserve">15–30 кун</t>
  </si>
  <si>
    <t xml:space="preserve">A3, B1</t>
  </si>
  <si>
    <t xml:space="preserve">Топшириқлар кузатилади, барча тўлов битта каналдан ўтади</t>
  </si>
  <si>
    <t xml:space="preserve">3-БОСҚИЧ: РАҚАМ</t>
  </si>
  <si>
    <t xml:space="preserve">31–45 кун</t>
  </si>
  <si>
    <t xml:space="preserve">A2, B2</t>
  </si>
  <si>
    <t xml:space="preserve">Эгаси ҳар эрталаб 5 рақамни кўради, 30 кунлик пул календари ишлайди</t>
  </si>
  <si>
    <t xml:space="preserve">4-БОСҚИЧ: ПУЛ ЧИҚАРИШ</t>
  </si>
  <si>
    <t xml:space="preserve">46–60 кун</t>
  </si>
  <si>
    <t xml:space="preserve">C3, B4</t>
  </si>
  <si>
    <t xml:space="preserve">Ўлик захира сотувга чиқди, маълумот хатолари рўйхатга олинди</t>
  </si>
  <si>
    <t xml:space="preserve">5-БОСҚИЧ: САВДО</t>
  </si>
  <si>
    <t xml:space="preserve">61–75 кун</t>
  </si>
  <si>
    <t xml:space="preserve">C1, C4</t>
  </si>
  <si>
    <t xml:space="preserve">Ҳеч бир сўров йўқолмайди, сервис шартномалари сотилмоқда</t>
  </si>
  <si>
    <t xml:space="preserve">6-БОСҚИЧ: БОШҚАРУВ</t>
  </si>
  <si>
    <t xml:space="preserve">76–90 кун</t>
  </si>
  <si>
    <t xml:space="preserve">B3, E2</t>
  </si>
  <si>
    <t xml:space="preserve">Рақамлар солиштирилади, AI операция менежери эрталабки брифни беради</t>
  </si>
  <si>
    <t xml:space="preserve">ЖАМИ ИШ ҲАЖМИ</t>
  </si>
  <si>
    <t xml:space="preserve">ТЎХТАТИШ ҚОИДАСИ: ҳар босқич охирида И = (агент тўғри бажарган иш) ÷ (жами уриниш) ҳисобланади. И &lt; 0.50 бўлса кейинги босқич БОШЛАНМАЙДИ — олдин сабаби топилади. Бу қоида «11 та лойиҳадан 2 таси тугалланган» тарихини такрорламаслик учун.</t>
  </si>
  <si>
    <t xml:space="preserve">КЕРАКСИЗ АГЕНТЛАР — ПУЛ САРФЛАМАНГ  ·  бу варақ тежайдиган пул</t>
  </si>
  <si>
    <t xml:space="preserve">АГЕНТ</t>
  </si>
  <si>
    <t xml:space="preserve">НИМА ВАЪДА ҚИЛИНАДИ</t>
  </si>
  <si>
    <t xml:space="preserve">НЕГА ЭМЖИЕМ УЧУН КЕРАК ЭМАС</t>
  </si>
  <si>
    <t xml:space="preserve">ЎРНИГА НИМА</t>
  </si>
  <si>
    <t xml:space="preserve">ХУЛОСА</t>
  </si>
  <si>
    <t xml:space="preserve">X1</t>
  </si>
  <si>
    <t xml:space="preserve">AI ОВОЗЛИ ҚЎНҒИРОҚ МАРКАЗИ</t>
  </si>
  <si>
    <t xml:space="preserve">Мижозларга робот овоз билан қўнғироқ қилиш / жавоб бериш</t>
  </si>
  <si>
    <t xml:space="preserve">Фаол B2B мижоз сони 50 гача. 50 та мижозга робот гапирса — муносабат бузилади, ютуқ нолга яқин. Primus умуман тавсия ва обрў орқали сотади. Бу пул ва вақтни ейди, натижа бермайди.</t>
  </si>
  <si>
    <t xml:space="preserve">Ўрнига: C4 сервис агенти — ёзма эслатма, жонли қўнғироқни одам қилади</t>
  </si>
  <si>
    <t xml:space="preserve">ҚУРИЛМАСИН</t>
  </si>
  <si>
    <t xml:space="preserve">X2</t>
  </si>
  <si>
    <t xml:space="preserve">AI ВИДЕОКУЗАТУВ ТАҲЛИЛИ</t>
  </si>
  <si>
    <t xml:space="preserve">Камералардаги одам ва ҳаракатни AI билан таҳлил қилиш</t>
  </si>
  <si>
    <t xml:space="preserve">Қиммат (сервер + лицензия), ўрнатиш узоқ, ва ҳозирги асосий муаммо — ўғирлик эмас, музлаб қолган $486K захира ва назорат йўқлиги. Аудитда камерадан келган йўқотиш умуман қайд этилмаган.</t>
  </si>
  <si>
    <t xml:space="preserve">Ўрнига: B4 хатолик детектори — пул ҳақиқатан қаерда йўқолаётганини кўрсатади</t>
  </si>
  <si>
    <t xml:space="preserve">X3</t>
  </si>
  <si>
    <t xml:space="preserve">AI РЕЗЮМЕ САРАЛАШ (HR)</t>
  </si>
  <si>
    <t xml:space="preserve">Номзодлар резюмесини AI билан автоматик саралаш</t>
  </si>
  <si>
    <t xml:space="preserve">Йилига 3–5 та одам ёлланади. 5 та резюмени саралашга агент қуриш — 12 соат иш, 0 фойда. Классик «ўйинчоқ агент».</t>
  </si>
  <si>
    <t xml:space="preserve">Ўрнига: A4 давомат ва E1 KPI — мавжуд одамларни ўлчаш</t>
  </si>
  <si>
    <t xml:space="preserve">X4</t>
  </si>
  <si>
    <t xml:space="preserve">22 ХОДИМГА M365 COPILOT ЛИЦЕНЗИЯСИ</t>
  </si>
  <si>
    <t xml:space="preserve">Барча ходимга Microsoft 365 Copilot сотиб олиш</t>
  </si>
  <si>
    <t xml:space="preserve">22 × $30 = ойига $660, йилига $7,920. Ходимларнинг кўпи Word/Excel'ни кунда очмайди — 22 ходимдан фақат 3–4 таси ўзи ишлайди. Пул сарфланади, ишлатилмайди.</t>
  </si>
  <si>
    <t xml:space="preserve">Ўрнига: 3–5 та калит одамга лицензия, қолганига Telegram орқали агент</t>
  </si>
  <si>
    <t xml:space="preserve">Бу 4 та агент қурилмаса — йилига тахминан $9,000–12,000 ва ~60 соат иш тежалади. Умумий қоида: агент қуришдан олдин «бу ҳафтада неча марта ишлайди?» деб сўранг. Жавоб «ойда 1–2 марта» бўлса — қурманг, қўлда қилинг.</t>
  </si>
  <si>
    <t xml:space="preserve">ДАШБОРД — умумий манзара (автоматик)</t>
  </si>
  <si>
    <t xml:space="preserve">Жами агент</t>
  </si>
  <si>
    <t xml:space="preserve">Рўйхатдаги барча агент</t>
  </si>
  <si>
    <t xml:space="preserve">КРИТИК</t>
  </si>
  <si>
    <t xml:space="preserve">Балл ≥ 18 — биринчи навбатда</t>
  </si>
  <si>
    <t xml:space="preserve">ШОШИЛИНЧ</t>
  </si>
  <si>
    <t xml:space="preserve">Балл ≥ 12</t>
  </si>
  <si>
    <t xml:space="preserve">ОДДИЙ</t>
  </si>
  <si>
    <t xml:space="preserve">Балл ≥ 4.8</t>
  </si>
  <si>
    <t xml:space="preserve">ИШЛАЯПТИ</t>
  </si>
  <si>
    <t xml:space="preserve">Тайёр ва ҳар куни ишлаяпти</t>
  </si>
  <si>
    <t xml:space="preserve">ҚУРИЛМОҚДА / ТЕСТДА</t>
  </si>
  <si>
    <t xml:space="preserve">БУ РАҚАМ 2 ДАН ОШМАСИН — олтин қоида</t>
  </si>
  <si>
    <t xml:space="preserve">Ҳали бошланмаган</t>
  </si>
  <si>
    <t xml:space="preserve">Бажарилиш даражаси</t>
  </si>
  <si>
    <t xml:space="preserve">Ишлаётган агент ÷ жами агент</t>
  </si>
  <si>
    <t xml:space="preserve">Ойлик вақт тежови</t>
  </si>
  <si>
    <t xml:space="preserve">Барча агент ишлаган ҳолда</t>
  </si>
  <si>
    <t xml:space="preserve">Йиллик реал фойда</t>
  </si>
  <si>
    <t xml:space="preserve">Реаллашиш коэффициенти билан</t>
  </si>
  <si>
    <t xml:space="preserve">Йиллик харажат</t>
  </si>
  <si>
    <t xml:space="preserve">Лицензия + сервер + API</t>
  </si>
  <si>
    <t xml:space="preserve">СОФ ЮТУҚ</t>
  </si>
  <si>
    <t xml:space="preserve">Фойда минус харажат</t>
  </si>
  <si>
    <t xml:space="preserve">ROI</t>
  </si>
  <si>
    <t xml:space="preserve">Ҳар 1 доллардан қанча қайтади</t>
  </si>
  <si>
    <t xml:space="preserve">БУ ҲАФТАДА НИМА ҚИЛИНАДИ?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</si>
</sst>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\$#,##0;&quot;($&quot;#,##0\);\-"/>
    <numFmt numFmtId="167" formatCode="0%"/>
    <numFmt numFmtId="168" formatCode="0"/>
    <numFmt numFmtId="169" formatCode="\$#,##0"/>
    <numFmt numFmtId="170" formatCode="0.00"/>
    <numFmt numFmtId="171" formatCode="#,##0"/>
    <numFmt numFmtId="172" formatCode="0.0\×"/>
    <numFmt numFmtId="173" formatCode="0.0%"/>
    <numFmt numFmtId="17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D9D9D9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/>
      <c r="B6" s="3" t="s">
        <v>5</v>
      </c>
    </row>
    <row r="7" customFormat="false" ht="15" hidden="false" customHeight="false" outlineLevel="0" collapsed="false">
      <c r="A7" s="2"/>
      <c r="B7" s="3" t="s">
        <v>6</v>
      </c>
    </row>
    <row r="8" customFormat="false" ht="15" hidden="false" customHeight="false" outlineLevel="0" collapsed="false">
      <c r="A8" s="2"/>
      <c r="B8" s="3" t="s">
        <v>7</v>
      </c>
    </row>
    <row r="9" customFormat="false" ht="15" hidden="false" customHeight="false" outlineLevel="0" collapsed="false">
      <c r="A9" s="2"/>
      <c r="B9" s="3" t="s">
        <v>8</v>
      </c>
    </row>
    <row r="10" customFormat="false" ht="15" hidden="false" customHeight="false" outlineLevel="0" collapsed="false">
      <c r="A10" s="2"/>
      <c r="B10" s="3" t="s">
        <v>9</v>
      </c>
    </row>
    <row r="11" customFormat="false" ht="15" hidden="false" customHeight="false" outlineLevel="0" collapsed="false">
      <c r="A11" s="2"/>
      <c r="B11" s="3"/>
    </row>
    <row r="12" customFormat="false" ht="23.85" hidden="false" customHeight="false" outlineLevel="0" collapsed="false">
      <c r="A12" s="2" t="s">
        <v>10</v>
      </c>
      <c r="B12" s="3" t="s">
        <v>11</v>
      </c>
    </row>
    <row r="13" customFormat="false" ht="15" hidden="false" customHeight="false" outlineLevel="0" collapsed="false">
      <c r="A13" s="2"/>
      <c r="B13" s="3"/>
    </row>
    <row r="14" customFormat="false" ht="35.05" hidden="false" customHeight="false" outlineLevel="0" collapsed="false">
      <c r="A14" s="2" t="s">
        <v>12</v>
      </c>
      <c r="B14" s="3" t="s">
        <v>13</v>
      </c>
    </row>
    <row r="15" customFormat="false" ht="15" hidden="false" customHeight="false" outlineLevel="0" collapsed="false">
      <c r="A15" s="2"/>
      <c r="B15" s="3" t="s">
        <v>14</v>
      </c>
    </row>
    <row r="16" customFormat="false" ht="15" hidden="false" customHeight="false" outlineLevel="0" collapsed="false">
      <c r="A16" s="2"/>
      <c r="B16" s="3" t="s">
        <v>15</v>
      </c>
    </row>
    <row r="17" customFormat="false" ht="15" hidden="false" customHeight="false" outlineLevel="0" collapsed="false">
      <c r="A17" s="2"/>
      <c r="B17" s="3" t="s">
        <v>16</v>
      </c>
    </row>
    <row r="18" customFormat="false" ht="15" hidden="false" customHeight="false" outlineLevel="0" collapsed="false">
      <c r="A18" s="2"/>
      <c r="B18" s="3" t="s">
        <v>17</v>
      </c>
    </row>
    <row r="19" customFormat="false" ht="15" hidden="false" customHeight="false" outlineLevel="0" collapsed="false">
      <c r="A19" s="2"/>
      <c r="B19" s="3"/>
    </row>
    <row r="20" customFormat="false" ht="15" hidden="false" customHeight="false" outlineLevel="0" collapsed="false">
      <c r="A20" s="2" t="s">
        <v>18</v>
      </c>
      <c r="B20" s="3" t="s">
        <v>19</v>
      </c>
    </row>
    <row r="21" customFormat="false" ht="15" hidden="false" customHeight="false" outlineLevel="0" collapsed="false">
      <c r="A21" s="2"/>
      <c r="B21" s="3" t="s">
        <v>20</v>
      </c>
    </row>
    <row r="22" customFormat="false" ht="15" hidden="false" customHeight="false" outlineLevel="0" collapsed="false">
      <c r="A22" s="2"/>
      <c r="B22" s="3"/>
    </row>
    <row r="23" customFormat="false" ht="23.85" hidden="false" customHeight="false" outlineLevel="0" collapsed="false">
      <c r="A23" s="2" t="s">
        <v>21</v>
      </c>
      <c r="B23" s="3" t="s">
        <v>22</v>
      </c>
    </row>
    <row r="24" customFormat="false" ht="15" hidden="false" customHeight="false" outlineLevel="0" collapsed="false">
      <c r="A24" s="2"/>
      <c r="B24" s="3" t="s">
        <v>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64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2" min="10" style="0" width="9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3" min="22" style="0" width="12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45.75" hidden="false" customHeight="true" outlineLevel="0" collapsed="false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44</v>
      </c>
      <c r="U2" s="4" t="s">
        <v>45</v>
      </c>
      <c r="V2" s="4" t="s">
        <v>46</v>
      </c>
      <c r="W2" s="4" t="s">
        <v>47</v>
      </c>
    </row>
    <row r="3" customFormat="false" ht="63.75" hidden="false" customHeight="true" outlineLevel="0" collapsed="false">
      <c r="A3" s="5" t="n">
        <v>1</v>
      </c>
      <c r="B3" s="5" t="s">
        <v>48</v>
      </c>
      <c r="C3" s="6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7" t="s">
        <v>55</v>
      </c>
      <c r="J3" s="8" t="n">
        <v>9</v>
      </c>
      <c r="K3" s="8" t="n">
        <v>0.9</v>
      </c>
      <c r="L3" s="8" t="n">
        <v>3</v>
      </c>
      <c r="M3" s="9" t="n">
        <f aca="false">J3*K3*L3</f>
        <v>24.3</v>
      </c>
      <c r="N3" s="5" t="str">
        <f aca="false">IF(M3&gt;=18,"КРИТИК",IF(M3&gt;=12,"ШОШИЛИНЧ",IF(M3&gt;=4.8,"ОДДИЙ","КЕРАКСИЗ")))</f>
        <v>КРИТИК</v>
      </c>
      <c r="O3" s="8" t="n">
        <v>16</v>
      </c>
      <c r="P3" s="8" t="n">
        <v>0</v>
      </c>
      <c r="Q3" s="10" t="n">
        <v>0</v>
      </c>
      <c r="R3" s="11" t="n">
        <f aca="false">Q3*'3-ХИСОБ'!$B$9</f>
        <v>0</v>
      </c>
      <c r="S3" s="10" t="n">
        <v>10</v>
      </c>
      <c r="T3" s="11" t="n">
        <f aca="false">S3*12</f>
        <v>120</v>
      </c>
      <c r="U3" s="12" t="n">
        <f aca="false">IF(T3=0,0,(R3-T3)/T3)</f>
        <v>-1</v>
      </c>
      <c r="V3" s="7"/>
      <c r="W3" s="7"/>
    </row>
    <row r="4" customFormat="false" ht="63.75" hidden="false" customHeight="true" outlineLevel="0" collapsed="false">
      <c r="A4" s="5" t="n">
        <v>2</v>
      </c>
      <c r="B4" s="5" t="s">
        <v>56</v>
      </c>
      <c r="C4" s="6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7" t="s">
        <v>55</v>
      </c>
      <c r="J4" s="8" t="n">
        <v>7</v>
      </c>
      <c r="K4" s="8" t="n">
        <v>0.9</v>
      </c>
      <c r="L4" s="8" t="n">
        <v>3</v>
      </c>
      <c r="M4" s="9" t="n">
        <f aca="false">J4*K4*L4</f>
        <v>18.9</v>
      </c>
      <c r="N4" s="5" t="str">
        <f aca="false">IF(M4&gt;=18,"КРИТИК",IF(M4&gt;=12,"ШОШИЛИНЧ",IF(M4&gt;=4.8,"ОДДИЙ","КЕРАКСИЗ")))</f>
        <v>КРИТИК</v>
      </c>
      <c r="O4" s="8" t="n">
        <v>6</v>
      </c>
      <c r="P4" s="8" t="n">
        <v>22</v>
      </c>
      <c r="Q4" s="10" t="n">
        <v>3000</v>
      </c>
      <c r="R4" s="11" t="n">
        <f aca="false">Q4*'3-ХИСОБ'!$B$9</f>
        <v>1500</v>
      </c>
      <c r="S4" s="10" t="n">
        <v>8</v>
      </c>
      <c r="T4" s="11" t="n">
        <f aca="false">S4*12</f>
        <v>96</v>
      </c>
      <c r="U4" s="12" t="n">
        <f aca="false">IF(T4=0,0,(R4-T4)/T4)</f>
        <v>14.625</v>
      </c>
      <c r="V4" s="7"/>
      <c r="W4" s="7"/>
    </row>
    <row r="5" customFormat="false" ht="63.75" hidden="false" customHeight="true" outlineLevel="0" collapsed="false">
      <c r="A5" s="5" t="n">
        <v>3</v>
      </c>
      <c r="B5" s="5" t="s">
        <v>63</v>
      </c>
      <c r="C5" s="6" t="s">
        <v>64</v>
      </c>
      <c r="D5" s="5" t="s">
        <v>58</v>
      </c>
      <c r="E5" s="5" t="s">
        <v>65</v>
      </c>
      <c r="F5" s="5" t="s">
        <v>66</v>
      </c>
      <c r="G5" s="5" t="s">
        <v>67</v>
      </c>
      <c r="H5" s="5" t="s">
        <v>68</v>
      </c>
      <c r="I5" s="7" t="s">
        <v>55</v>
      </c>
      <c r="J5" s="8" t="n">
        <v>8</v>
      </c>
      <c r="K5" s="8" t="n">
        <v>0.8</v>
      </c>
      <c r="L5" s="8" t="n">
        <v>3</v>
      </c>
      <c r="M5" s="9" t="n">
        <f aca="false">J5*K5*L5</f>
        <v>19.2</v>
      </c>
      <c r="N5" s="5" t="str">
        <f aca="false">IF(M5&gt;=18,"КРИТИК",IF(M5&gt;=12,"ШОШИЛИНЧ",IF(M5&gt;=4.8,"ОДДИЙ","КЕРАКСИЗ")))</f>
        <v>КРИТИК</v>
      </c>
      <c r="O5" s="8" t="n">
        <v>10</v>
      </c>
      <c r="P5" s="8" t="n">
        <v>12</v>
      </c>
      <c r="Q5" s="10" t="n">
        <v>6000</v>
      </c>
      <c r="R5" s="11" t="n">
        <f aca="false">Q5*'3-ХИСОБ'!$B$9</f>
        <v>3000</v>
      </c>
      <c r="S5" s="10" t="n">
        <v>10</v>
      </c>
      <c r="T5" s="11" t="n">
        <f aca="false">S5*12</f>
        <v>120</v>
      </c>
      <c r="U5" s="12" t="n">
        <f aca="false">IF(T5=0,0,(R5-T5)/T5)</f>
        <v>24</v>
      </c>
      <c r="V5" s="7"/>
      <c r="W5" s="7"/>
    </row>
    <row r="6" customFormat="false" ht="63.75" hidden="false" customHeight="true" outlineLevel="0" collapsed="false">
      <c r="A6" s="5" t="n">
        <v>4</v>
      </c>
      <c r="B6" s="5" t="s">
        <v>69</v>
      </c>
      <c r="C6" s="6" t="s">
        <v>70</v>
      </c>
      <c r="D6" s="5" t="s">
        <v>58</v>
      </c>
      <c r="E6" s="5" t="s">
        <v>71</v>
      </c>
      <c r="F6" s="5" t="s">
        <v>72</v>
      </c>
      <c r="G6" s="5" t="s">
        <v>73</v>
      </c>
      <c r="H6" s="5" t="s">
        <v>62</v>
      </c>
      <c r="I6" s="7" t="s">
        <v>55</v>
      </c>
      <c r="J6" s="8" t="n">
        <v>7</v>
      </c>
      <c r="K6" s="8" t="n">
        <v>0.9</v>
      </c>
      <c r="L6" s="8" t="n">
        <v>3</v>
      </c>
      <c r="M6" s="9" t="n">
        <f aca="false">J6*K6*L6</f>
        <v>18.9</v>
      </c>
      <c r="N6" s="5" t="str">
        <f aca="false">IF(M6&gt;=18,"КРИТИК",IF(M6&gt;=12,"ШОШИЛИНЧ",IF(M6&gt;=4.8,"ОДДИЙ","КЕРАКСИЗ")))</f>
        <v>КРИТИК</v>
      </c>
      <c r="O6" s="8" t="n">
        <v>8</v>
      </c>
      <c r="P6" s="8" t="n">
        <v>20</v>
      </c>
      <c r="Q6" s="10" t="n">
        <v>4000</v>
      </c>
      <c r="R6" s="11" t="n">
        <f aca="false">Q6*'3-ХИСОБ'!$B$9</f>
        <v>2000</v>
      </c>
      <c r="S6" s="10" t="n">
        <v>6</v>
      </c>
      <c r="T6" s="11" t="n">
        <f aca="false">S6*12</f>
        <v>72</v>
      </c>
      <c r="U6" s="12" t="n">
        <f aca="false">IF(T6=0,0,(R6-T6)/T6)</f>
        <v>26.7777777777778</v>
      </c>
      <c r="V6" s="7"/>
      <c r="W6" s="7"/>
    </row>
    <row r="7" customFormat="false" ht="63.75" hidden="false" customHeight="true" outlineLevel="0" collapsed="false">
      <c r="A7" s="5" t="n">
        <v>5</v>
      </c>
      <c r="B7" s="5" t="s">
        <v>74</v>
      </c>
      <c r="C7" s="6" t="s">
        <v>75</v>
      </c>
      <c r="D7" s="5" t="s">
        <v>58</v>
      </c>
      <c r="E7" s="5" t="s">
        <v>76</v>
      </c>
      <c r="F7" s="5" t="s">
        <v>77</v>
      </c>
      <c r="G7" s="5" t="s">
        <v>78</v>
      </c>
      <c r="H7" s="5" t="s">
        <v>79</v>
      </c>
      <c r="I7" s="7" t="s">
        <v>55</v>
      </c>
      <c r="J7" s="8" t="n">
        <v>3</v>
      </c>
      <c r="K7" s="8" t="n">
        <v>0.8</v>
      </c>
      <c r="L7" s="8" t="n">
        <v>2</v>
      </c>
      <c r="M7" s="9" t="n">
        <f aca="false">J7*K7*L7</f>
        <v>4.8</v>
      </c>
      <c r="N7" s="5" t="str">
        <f aca="false">IF(M7&gt;=18,"КРИТИК",IF(M7&gt;=12,"ШОШИЛИНЧ",IF(M7&gt;=4.8,"ОДДИЙ","КЕРАКСИЗ")))</f>
        <v>ОДДИЙ</v>
      </c>
      <c r="O7" s="8" t="n">
        <v>5</v>
      </c>
      <c r="P7" s="8" t="n">
        <v>6</v>
      </c>
      <c r="Q7" s="10" t="n">
        <v>1500</v>
      </c>
      <c r="R7" s="11" t="n">
        <f aca="false">Q7*'3-ХИСОБ'!$B$9</f>
        <v>750</v>
      </c>
      <c r="S7" s="10" t="n">
        <v>3</v>
      </c>
      <c r="T7" s="11" t="n">
        <f aca="false">S7*12</f>
        <v>36</v>
      </c>
      <c r="U7" s="12" t="n">
        <f aca="false">IF(T7=0,0,(R7-T7)/T7)</f>
        <v>19.8333333333333</v>
      </c>
      <c r="V7" s="7"/>
      <c r="W7" s="7"/>
    </row>
    <row r="8" customFormat="false" ht="63.75" hidden="false" customHeight="true" outlineLevel="0" collapsed="false">
      <c r="A8" s="5" t="n">
        <v>6</v>
      </c>
      <c r="B8" s="5" t="s">
        <v>80</v>
      </c>
      <c r="C8" s="6" t="s">
        <v>81</v>
      </c>
      <c r="D8" s="5" t="s">
        <v>82</v>
      </c>
      <c r="E8" s="5" t="s">
        <v>83</v>
      </c>
      <c r="F8" s="5" t="s">
        <v>84</v>
      </c>
      <c r="G8" s="5" t="s">
        <v>85</v>
      </c>
      <c r="H8" s="5" t="s">
        <v>86</v>
      </c>
      <c r="I8" s="7" t="s">
        <v>55</v>
      </c>
      <c r="J8" s="8" t="n">
        <v>8</v>
      </c>
      <c r="K8" s="8" t="n">
        <v>0.85</v>
      </c>
      <c r="L8" s="8" t="n">
        <v>3</v>
      </c>
      <c r="M8" s="9" t="n">
        <f aca="false">J8*K8*L8</f>
        <v>20.4</v>
      </c>
      <c r="N8" s="5" t="str">
        <f aca="false">IF(M8&gt;=18,"КРИТИК",IF(M8&gt;=12,"ШОШИЛИНЧ",IF(M8&gt;=4.8,"ОДДИЙ","КЕРАКСИЗ")))</f>
        <v>КРИТИК</v>
      </c>
      <c r="O8" s="8" t="n">
        <v>8</v>
      </c>
      <c r="P8" s="8" t="n">
        <v>10</v>
      </c>
      <c r="Q8" s="10" t="n">
        <v>5000</v>
      </c>
      <c r="R8" s="11" t="n">
        <f aca="false">Q8*'3-ХИСОБ'!$B$9</f>
        <v>2500</v>
      </c>
      <c r="S8" s="10" t="n">
        <v>5</v>
      </c>
      <c r="T8" s="11" t="n">
        <f aca="false">S8*12</f>
        <v>60</v>
      </c>
      <c r="U8" s="12" t="n">
        <f aca="false">IF(T8=0,0,(R8-T8)/T8)</f>
        <v>40.6666666666667</v>
      </c>
      <c r="V8" s="7"/>
      <c r="W8" s="7"/>
    </row>
    <row r="9" customFormat="false" ht="63.75" hidden="false" customHeight="true" outlineLevel="0" collapsed="false">
      <c r="A9" s="5" t="n">
        <v>7</v>
      </c>
      <c r="B9" s="5" t="s">
        <v>87</v>
      </c>
      <c r="C9" s="6" t="s">
        <v>88</v>
      </c>
      <c r="D9" s="5" t="s">
        <v>82</v>
      </c>
      <c r="E9" s="5" t="s">
        <v>89</v>
      </c>
      <c r="F9" s="5" t="s">
        <v>90</v>
      </c>
      <c r="G9" s="5" t="s">
        <v>91</v>
      </c>
      <c r="H9" s="5" t="s">
        <v>92</v>
      </c>
      <c r="I9" s="7" t="s">
        <v>55</v>
      </c>
      <c r="J9" s="8" t="n">
        <v>7</v>
      </c>
      <c r="K9" s="8" t="n">
        <v>0.9</v>
      </c>
      <c r="L9" s="8" t="n">
        <v>3</v>
      </c>
      <c r="M9" s="9" t="n">
        <f aca="false">J9*K9*L9</f>
        <v>18.9</v>
      </c>
      <c r="N9" s="5" t="str">
        <f aca="false">IF(M9&gt;=18,"КРИТИК",IF(M9&gt;=12,"ШОШИЛИНЧ",IF(M9&gt;=4.8,"ОДДИЙ","КЕРАКСИЗ")))</f>
        <v>КРИТИК</v>
      </c>
      <c r="O9" s="8" t="n">
        <v>10</v>
      </c>
      <c r="P9" s="8" t="n">
        <v>8</v>
      </c>
      <c r="Q9" s="10" t="n">
        <v>4000</v>
      </c>
      <c r="R9" s="11" t="n">
        <f aca="false">Q9*'3-ХИСОБ'!$B$9</f>
        <v>2000</v>
      </c>
      <c r="S9" s="10" t="n">
        <v>6</v>
      </c>
      <c r="T9" s="11" t="n">
        <f aca="false">S9*12</f>
        <v>72</v>
      </c>
      <c r="U9" s="12" t="n">
        <f aca="false">IF(T9=0,0,(R9-T9)/T9)</f>
        <v>26.7777777777778</v>
      </c>
      <c r="V9" s="7"/>
      <c r="W9" s="7"/>
    </row>
    <row r="10" customFormat="false" ht="63.75" hidden="false" customHeight="true" outlineLevel="0" collapsed="false">
      <c r="A10" s="5" t="n">
        <v>8</v>
      </c>
      <c r="B10" s="5" t="s">
        <v>93</v>
      </c>
      <c r="C10" s="6" t="s">
        <v>94</v>
      </c>
      <c r="D10" s="5" t="s">
        <v>82</v>
      </c>
      <c r="E10" s="5" t="s">
        <v>95</v>
      </c>
      <c r="F10" s="5" t="s">
        <v>96</v>
      </c>
      <c r="G10" s="5" t="s">
        <v>97</v>
      </c>
      <c r="H10" s="5" t="s">
        <v>92</v>
      </c>
      <c r="I10" s="7" t="s">
        <v>55</v>
      </c>
      <c r="J10" s="8" t="n">
        <v>8</v>
      </c>
      <c r="K10" s="8" t="n">
        <v>0.8</v>
      </c>
      <c r="L10" s="8" t="n">
        <v>3</v>
      </c>
      <c r="M10" s="9" t="n">
        <f aca="false">J10*K10*L10</f>
        <v>19.2</v>
      </c>
      <c r="N10" s="5" t="str">
        <f aca="false">IF(M10&gt;=18,"КРИТИК",IF(M10&gt;=12,"ШОШИЛИНЧ",IF(M10&gt;=4.8,"ОДДИЙ","КЕРАКСИЗ")))</f>
        <v>КРИТИК</v>
      </c>
      <c r="O10" s="8" t="n">
        <v>14</v>
      </c>
      <c r="P10" s="8" t="n">
        <v>16</v>
      </c>
      <c r="Q10" s="10" t="n">
        <v>8000</v>
      </c>
      <c r="R10" s="11" t="n">
        <f aca="false">Q10*'3-ХИСОБ'!$B$9</f>
        <v>4000</v>
      </c>
      <c r="S10" s="10" t="n">
        <v>12</v>
      </c>
      <c r="T10" s="11" t="n">
        <f aca="false">S10*12</f>
        <v>144</v>
      </c>
      <c r="U10" s="12" t="n">
        <f aca="false">IF(T10=0,0,(R10-T10)/T10)</f>
        <v>26.7777777777778</v>
      </c>
      <c r="V10" s="7"/>
      <c r="W10" s="7"/>
    </row>
    <row r="11" customFormat="false" ht="63.75" hidden="false" customHeight="true" outlineLevel="0" collapsed="false">
      <c r="A11" s="5" t="n">
        <v>9</v>
      </c>
      <c r="B11" s="5" t="s">
        <v>98</v>
      </c>
      <c r="C11" s="6" t="s">
        <v>99</v>
      </c>
      <c r="D11" s="5" t="s">
        <v>82</v>
      </c>
      <c r="E11" s="5" t="s">
        <v>100</v>
      </c>
      <c r="F11" s="5" t="s">
        <v>101</v>
      </c>
      <c r="G11" s="5" t="s">
        <v>102</v>
      </c>
      <c r="H11" s="5" t="s">
        <v>103</v>
      </c>
      <c r="I11" s="7" t="s">
        <v>55</v>
      </c>
      <c r="J11" s="8" t="n">
        <v>9</v>
      </c>
      <c r="K11" s="8" t="n">
        <v>0.7</v>
      </c>
      <c r="L11" s="8" t="n">
        <v>2</v>
      </c>
      <c r="M11" s="9" t="n">
        <f aca="false">J11*K11*L11</f>
        <v>12.6</v>
      </c>
      <c r="N11" s="5" t="str">
        <f aca="false">IF(M11&gt;=18,"КРИТИК",IF(M11&gt;=12,"ШОШИЛИНЧ",IF(M11&gt;=4.8,"ОДДИЙ","КЕРАКСИЗ")))</f>
        <v>ШОШИЛИНЧ</v>
      </c>
      <c r="O11" s="8" t="n">
        <v>12</v>
      </c>
      <c r="P11" s="8" t="n">
        <v>10</v>
      </c>
      <c r="Q11" s="10" t="n">
        <v>12000</v>
      </c>
      <c r="R11" s="11" t="n">
        <f aca="false">Q11*'3-ХИСОБ'!$B$9</f>
        <v>6000</v>
      </c>
      <c r="S11" s="10" t="n">
        <v>10</v>
      </c>
      <c r="T11" s="11" t="n">
        <f aca="false">S11*12</f>
        <v>120</v>
      </c>
      <c r="U11" s="12" t="n">
        <f aca="false">IF(T11=0,0,(R11-T11)/T11)</f>
        <v>49</v>
      </c>
      <c r="V11" s="7"/>
      <c r="W11" s="7"/>
    </row>
    <row r="12" customFormat="false" ht="63.75" hidden="false" customHeight="true" outlineLevel="0" collapsed="false">
      <c r="A12" s="5" t="n">
        <v>10</v>
      </c>
      <c r="B12" s="5" t="s">
        <v>104</v>
      </c>
      <c r="C12" s="6" t="s">
        <v>105</v>
      </c>
      <c r="D12" s="5" t="s">
        <v>106</v>
      </c>
      <c r="E12" s="5" t="s">
        <v>107</v>
      </c>
      <c r="F12" s="5" t="s">
        <v>108</v>
      </c>
      <c r="G12" s="5" t="s">
        <v>109</v>
      </c>
      <c r="H12" s="5" t="s">
        <v>110</v>
      </c>
      <c r="I12" s="7" t="s">
        <v>55</v>
      </c>
      <c r="J12" s="8" t="n">
        <v>8</v>
      </c>
      <c r="K12" s="8" t="n">
        <v>0.8</v>
      </c>
      <c r="L12" s="8" t="n">
        <v>3</v>
      </c>
      <c r="M12" s="9" t="n">
        <f aca="false">J12*K12*L12</f>
        <v>19.2</v>
      </c>
      <c r="N12" s="5" t="str">
        <f aca="false">IF(M12&gt;=18,"КРИТИК",IF(M12&gt;=12,"ШОШИЛИНЧ",IF(M12&gt;=4.8,"ОДДИЙ","КЕРАКСИЗ")))</f>
        <v>КРИТИК</v>
      </c>
      <c r="O12" s="8" t="n">
        <v>10</v>
      </c>
      <c r="P12" s="8" t="n">
        <v>8</v>
      </c>
      <c r="Q12" s="10" t="n">
        <v>12500</v>
      </c>
      <c r="R12" s="11" t="n">
        <f aca="false">Q12*'3-ХИСОБ'!$B$9</f>
        <v>6250</v>
      </c>
      <c r="S12" s="10" t="n">
        <v>15</v>
      </c>
      <c r="T12" s="11" t="n">
        <f aca="false">S12*12</f>
        <v>180</v>
      </c>
      <c r="U12" s="12" t="n">
        <f aca="false">IF(T12=0,0,(R12-T12)/T12)</f>
        <v>33.7222222222222</v>
      </c>
      <c r="V12" s="7"/>
      <c r="W12" s="7"/>
    </row>
    <row r="13" customFormat="false" ht="63.75" hidden="false" customHeight="true" outlineLevel="0" collapsed="false">
      <c r="A13" s="5" t="n">
        <v>11</v>
      </c>
      <c r="B13" s="5" t="s">
        <v>111</v>
      </c>
      <c r="C13" s="6" t="s">
        <v>112</v>
      </c>
      <c r="D13" s="5" t="s">
        <v>106</v>
      </c>
      <c r="E13" s="5" t="s">
        <v>113</v>
      </c>
      <c r="F13" s="5" t="s">
        <v>114</v>
      </c>
      <c r="G13" s="5" t="s">
        <v>115</v>
      </c>
      <c r="H13" s="5" t="s">
        <v>62</v>
      </c>
      <c r="I13" s="7" t="s">
        <v>55</v>
      </c>
      <c r="J13" s="8" t="n">
        <v>7</v>
      </c>
      <c r="K13" s="8" t="n">
        <v>0.9</v>
      </c>
      <c r="L13" s="8" t="n">
        <v>2</v>
      </c>
      <c r="M13" s="9" t="n">
        <f aca="false">J13*K13*L13</f>
        <v>12.6</v>
      </c>
      <c r="N13" s="5" t="str">
        <f aca="false">IF(M13&gt;=18,"КРИТИК",IF(M13&gt;=12,"ШОШИЛИНЧ",IF(M13&gt;=4.8,"ОДДИЙ","КЕРАКСИЗ")))</f>
        <v>ШОШИЛИНЧ</v>
      </c>
      <c r="O13" s="8" t="n">
        <v>12</v>
      </c>
      <c r="P13" s="8" t="n">
        <v>6</v>
      </c>
      <c r="Q13" s="10" t="n">
        <v>9000</v>
      </c>
      <c r="R13" s="11" t="n">
        <f aca="false">Q13*'3-ХИСОБ'!$B$9</f>
        <v>4500</v>
      </c>
      <c r="S13" s="10" t="n">
        <v>12</v>
      </c>
      <c r="T13" s="11" t="n">
        <f aca="false">S13*12</f>
        <v>144</v>
      </c>
      <c r="U13" s="12" t="n">
        <f aca="false">IF(T13=0,0,(R13-T13)/T13)</f>
        <v>30.25</v>
      </c>
      <c r="V13" s="7"/>
      <c r="W13" s="7"/>
    </row>
    <row r="14" customFormat="false" ht="63.75" hidden="false" customHeight="true" outlineLevel="0" collapsed="false">
      <c r="A14" s="5" t="n">
        <v>12</v>
      </c>
      <c r="B14" s="5" t="s">
        <v>116</v>
      </c>
      <c r="C14" s="6" t="s">
        <v>117</v>
      </c>
      <c r="D14" s="5" t="s">
        <v>106</v>
      </c>
      <c r="E14" s="5" t="s">
        <v>118</v>
      </c>
      <c r="F14" s="5" t="s">
        <v>119</v>
      </c>
      <c r="G14" s="5" t="s">
        <v>120</v>
      </c>
      <c r="H14" s="5" t="s">
        <v>121</v>
      </c>
      <c r="I14" s="7" t="s">
        <v>55</v>
      </c>
      <c r="J14" s="8" t="n">
        <v>9</v>
      </c>
      <c r="K14" s="8" t="n">
        <v>0.8</v>
      </c>
      <c r="L14" s="8" t="n">
        <v>3</v>
      </c>
      <c r="M14" s="9" t="n">
        <f aca="false">J14*K14*L14</f>
        <v>21.6</v>
      </c>
      <c r="N14" s="5" t="str">
        <f aca="false">IF(M14&gt;=18,"КРИТИК",IF(M14&gt;=12,"ШОШИЛИНЧ",IF(M14&gt;=4.8,"ОДДИЙ","КЕРАКСИЗ")))</f>
        <v>КРИТИК</v>
      </c>
      <c r="O14" s="8" t="n">
        <v>10</v>
      </c>
      <c r="P14" s="8" t="n">
        <v>6</v>
      </c>
      <c r="Q14" s="10" t="n">
        <v>18000</v>
      </c>
      <c r="R14" s="11" t="n">
        <f aca="false">Q14*'3-ХИСОБ'!$B$9</f>
        <v>9000</v>
      </c>
      <c r="S14" s="10" t="n">
        <v>10</v>
      </c>
      <c r="T14" s="11" t="n">
        <f aca="false">S14*12</f>
        <v>120</v>
      </c>
      <c r="U14" s="12" t="n">
        <f aca="false">IF(T14=0,0,(R14-T14)/T14)</f>
        <v>74</v>
      </c>
      <c r="V14" s="7"/>
      <c r="W14" s="7"/>
    </row>
    <row r="15" customFormat="false" ht="63.75" hidden="false" customHeight="true" outlineLevel="0" collapsed="false">
      <c r="A15" s="5" t="n">
        <v>13</v>
      </c>
      <c r="B15" s="5" t="s">
        <v>122</v>
      </c>
      <c r="C15" s="6" t="s">
        <v>123</v>
      </c>
      <c r="D15" s="5" t="s">
        <v>106</v>
      </c>
      <c r="E15" s="5" t="s">
        <v>124</v>
      </c>
      <c r="F15" s="5" t="s">
        <v>125</v>
      </c>
      <c r="G15" s="5" t="s">
        <v>126</v>
      </c>
      <c r="H15" s="5" t="s">
        <v>127</v>
      </c>
      <c r="I15" s="7" t="s">
        <v>55</v>
      </c>
      <c r="J15" s="8" t="n">
        <v>8</v>
      </c>
      <c r="K15" s="8" t="n">
        <v>0.8</v>
      </c>
      <c r="L15" s="8" t="n">
        <v>2</v>
      </c>
      <c r="M15" s="9" t="n">
        <f aca="false">J15*K15*L15</f>
        <v>12.8</v>
      </c>
      <c r="N15" s="5" t="str">
        <f aca="false">IF(M15&gt;=18,"КРИТИК",IF(M15&gt;=12,"ШОШИЛИНЧ",IF(M15&gt;=4.8,"ОДДИЙ","КЕРАКСИЗ")))</f>
        <v>ШОШИЛИНЧ</v>
      </c>
      <c r="O15" s="8" t="n">
        <v>12</v>
      </c>
      <c r="P15" s="8" t="n">
        <v>8</v>
      </c>
      <c r="Q15" s="10" t="n">
        <v>20000</v>
      </c>
      <c r="R15" s="11" t="n">
        <f aca="false">Q15*'3-ХИСОБ'!$B$9</f>
        <v>10000</v>
      </c>
      <c r="S15" s="10" t="n">
        <v>10</v>
      </c>
      <c r="T15" s="11" t="n">
        <f aca="false">S15*12</f>
        <v>120</v>
      </c>
      <c r="U15" s="12" t="n">
        <f aca="false">IF(T15=0,0,(R15-T15)/T15)</f>
        <v>82.3333333333333</v>
      </c>
      <c r="V15" s="7"/>
      <c r="W15" s="7"/>
    </row>
    <row r="16" customFormat="false" ht="63.75" hidden="false" customHeight="true" outlineLevel="0" collapsed="false">
      <c r="A16" s="5" t="n">
        <v>14</v>
      </c>
      <c r="B16" s="5" t="s">
        <v>128</v>
      </c>
      <c r="C16" s="6" t="s">
        <v>129</v>
      </c>
      <c r="D16" s="5" t="s">
        <v>106</v>
      </c>
      <c r="E16" s="5" t="s">
        <v>130</v>
      </c>
      <c r="F16" s="5" t="s">
        <v>131</v>
      </c>
      <c r="G16" s="5" t="s">
        <v>132</v>
      </c>
      <c r="H16" s="5" t="s">
        <v>110</v>
      </c>
      <c r="I16" s="7" t="s">
        <v>55</v>
      </c>
      <c r="J16" s="8" t="n">
        <v>5</v>
      </c>
      <c r="K16" s="8" t="n">
        <v>0.7</v>
      </c>
      <c r="L16" s="8" t="n">
        <v>2</v>
      </c>
      <c r="M16" s="9" t="n">
        <f aca="false">J16*K16*L16</f>
        <v>7</v>
      </c>
      <c r="N16" s="5" t="str">
        <f aca="false">IF(M16&gt;=18,"КРИТИК",IF(M16&gt;=12,"ШОШИЛИНЧ",IF(M16&gt;=4.8,"ОДДИЙ","КЕРАКСИЗ")))</f>
        <v>ОДДИЙ</v>
      </c>
      <c r="O16" s="8" t="n">
        <v>6</v>
      </c>
      <c r="P16" s="8" t="n">
        <v>4</v>
      </c>
      <c r="Q16" s="10" t="n">
        <v>6000</v>
      </c>
      <c r="R16" s="11" t="n">
        <f aca="false">Q16*'3-ХИСОБ'!$B$9</f>
        <v>3000</v>
      </c>
      <c r="S16" s="10" t="n">
        <v>6</v>
      </c>
      <c r="T16" s="11" t="n">
        <f aca="false">S16*12</f>
        <v>72</v>
      </c>
      <c r="U16" s="12" t="n">
        <f aca="false">IF(T16=0,0,(R16-T16)/T16)</f>
        <v>40.6666666666667</v>
      </c>
      <c r="V16" s="7"/>
      <c r="W16" s="7"/>
    </row>
    <row r="17" customFormat="false" ht="63.75" hidden="false" customHeight="true" outlineLevel="0" collapsed="false">
      <c r="A17" s="5" t="n">
        <v>15</v>
      </c>
      <c r="B17" s="5" t="s">
        <v>133</v>
      </c>
      <c r="C17" s="6" t="s">
        <v>134</v>
      </c>
      <c r="D17" s="5" t="s">
        <v>135</v>
      </c>
      <c r="E17" s="5" t="s">
        <v>136</v>
      </c>
      <c r="F17" s="5" t="s">
        <v>137</v>
      </c>
      <c r="G17" s="5" t="s">
        <v>138</v>
      </c>
      <c r="H17" s="5" t="s">
        <v>139</v>
      </c>
      <c r="I17" s="7" t="s">
        <v>55</v>
      </c>
      <c r="J17" s="8" t="n">
        <v>8</v>
      </c>
      <c r="K17" s="8" t="n">
        <v>0.8</v>
      </c>
      <c r="L17" s="8" t="n">
        <v>2</v>
      </c>
      <c r="M17" s="9" t="n">
        <f aca="false">J17*K17*L17</f>
        <v>12.8</v>
      </c>
      <c r="N17" s="5" t="str">
        <f aca="false">IF(M17&gt;=18,"КРИТИК",IF(M17&gt;=12,"ШОШИЛИНЧ",IF(M17&gt;=4.8,"ОДДИЙ","КЕРАКСИЗ")))</f>
        <v>ШОШИЛИНЧ</v>
      </c>
      <c r="O17" s="8" t="n">
        <v>14</v>
      </c>
      <c r="P17" s="8" t="n">
        <v>10</v>
      </c>
      <c r="Q17" s="10" t="n">
        <v>10000</v>
      </c>
      <c r="R17" s="11" t="n">
        <f aca="false">Q17*'3-ХИСОБ'!$B$9</f>
        <v>5000</v>
      </c>
      <c r="S17" s="10" t="n">
        <v>10</v>
      </c>
      <c r="T17" s="11" t="n">
        <f aca="false">S17*12</f>
        <v>120</v>
      </c>
      <c r="U17" s="12" t="n">
        <f aca="false">IF(T17=0,0,(R17-T17)/T17)</f>
        <v>40.6666666666667</v>
      </c>
      <c r="V17" s="7"/>
      <c r="W17" s="7"/>
    </row>
    <row r="18" customFormat="false" ht="63.75" hidden="false" customHeight="true" outlineLevel="0" collapsed="false">
      <c r="A18" s="5" t="n">
        <v>16</v>
      </c>
      <c r="B18" s="5" t="s">
        <v>140</v>
      </c>
      <c r="C18" s="6" t="s">
        <v>141</v>
      </c>
      <c r="D18" s="5" t="s">
        <v>135</v>
      </c>
      <c r="E18" s="5" t="s">
        <v>142</v>
      </c>
      <c r="F18" s="5" t="s">
        <v>143</v>
      </c>
      <c r="G18" s="5" t="s">
        <v>144</v>
      </c>
      <c r="H18" s="5" t="s">
        <v>145</v>
      </c>
      <c r="I18" s="7" t="s">
        <v>55</v>
      </c>
      <c r="J18" s="8" t="n">
        <v>4</v>
      </c>
      <c r="K18" s="8" t="n">
        <v>0.8</v>
      </c>
      <c r="L18" s="8" t="n">
        <v>2</v>
      </c>
      <c r="M18" s="9" t="n">
        <f aca="false">J18*K18*L18</f>
        <v>6.4</v>
      </c>
      <c r="N18" s="5" t="str">
        <f aca="false">IF(M18&gt;=18,"КРИТИК",IF(M18&gt;=12,"ШОШИЛИНЧ",IF(M18&gt;=4.8,"ОДДИЙ","КЕРАКСИЗ")))</f>
        <v>ОДДИЙ</v>
      </c>
      <c r="O18" s="8" t="n">
        <v>8</v>
      </c>
      <c r="P18" s="8" t="n">
        <v>6</v>
      </c>
      <c r="Q18" s="10" t="n">
        <v>3000</v>
      </c>
      <c r="R18" s="11" t="n">
        <f aca="false">Q18*'3-ХИСОБ'!$B$9</f>
        <v>1500</v>
      </c>
      <c r="S18" s="10" t="n">
        <v>5</v>
      </c>
      <c r="T18" s="11" t="n">
        <f aca="false">S18*12</f>
        <v>60</v>
      </c>
      <c r="U18" s="12" t="n">
        <f aca="false">IF(T18=0,0,(R18-T18)/T18)</f>
        <v>24</v>
      </c>
      <c r="V18" s="7"/>
      <c r="W18" s="7"/>
    </row>
    <row r="19" customFormat="false" ht="63.75" hidden="false" customHeight="true" outlineLevel="0" collapsed="false">
      <c r="A19" s="5" t="n">
        <v>17</v>
      </c>
      <c r="B19" s="5" t="s">
        <v>146</v>
      </c>
      <c r="C19" s="6" t="s">
        <v>147</v>
      </c>
      <c r="D19" s="5" t="s">
        <v>148</v>
      </c>
      <c r="E19" s="5" t="s">
        <v>149</v>
      </c>
      <c r="F19" s="5" t="s">
        <v>150</v>
      </c>
      <c r="G19" s="5" t="s">
        <v>151</v>
      </c>
      <c r="H19" s="5" t="s">
        <v>152</v>
      </c>
      <c r="I19" s="7" t="s">
        <v>55</v>
      </c>
      <c r="J19" s="8" t="n">
        <v>6</v>
      </c>
      <c r="K19" s="8" t="n">
        <v>0.8</v>
      </c>
      <c r="L19" s="8" t="n">
        <v>3</v>
      </c>
      <c r="M19" s="9" t="n">
        <f aca="false">J19*K19*L19</f>
        <v>14.4</v>
      </c>
      <c r="N19" s="5" t="str">
        <f aca="false">IF(M19&gt;=18,"КРИТИК",IF(M19&gt;=12,"ШОШИЛИНЧ",IF(M19&gt;=4.8,"ОДДИЙ","КЕРАКСИЗ")))</f>
        <v>ШОШИЛИНЧ</v>
      </c>
      <c r="O19" s="8" t="n">
        <v>12</v>
      </c>
      <c r="P19" s="8" t="n">
        <v>8</v>
      </c>
      <c r="Q19" s="10" t="n">
        <v>5000</v>
      </c>
      <c r="R19" s="11" t="n">
        <f aca="false">Q19*'3-ХИСОБ'!$B$9</f>
        <v>2500</v>
      </c>
      <c r="S19" s="10" t="n">
        <v>8</v>
      </c>
      <c r="T19" s="11" t="n">
        <f aca="false">S19*12</f>
        <v>96</v>
      </c>
      <c r="U19" s="12" t="n">
        <f aca="false">IF(T19=0,0,(R19-T19)/T19)</f>
        <v>25.0416666666667</v>
      </c>
      <c r="V19" s="7"/>
      <c r="W19" s="7"/>
    </row>
    <row r="20" customFormat="false" ht="63.75" hidden="false" customHeight="true" outlineLevel="0" collapsed="false">
      <c r="A20" s="5" t="n">
        <v>18</v>
      </c>
      <c r="B20" s="5" t="s">
        <v>153</v>
      </c>
      <c r="C20" s="6" t="s">
        <v>154</v>
      </c>
      <c r="D20" s="5" t="s">
        <v>148</v>
      </c>
      <c r="E20" s="5" t="s">
        <v>155</v>
      </c>
      <c r="F20" s="5" t="s">
        <v>156</v>
      </c>
      <c r="G20" s="5" t="s">
        <v>157</v>
      </c>
      <c r="H20" s="5" t="s">
        <v>158</v>
      </c>
      <c r="I20" s="7" t="s">
        <v>55</v>
      </c>
      <c r="J20" s="8" t="n">
        <v>9</v>
      </c>
      <c r="K20" s="8" t="n">
        <v>0.7</v>
      </c>
      <c r="L20" s="8" t="n">
        <v>3</v>
      </c>
      <c r="M20" s="9" t="n">
        <f aca="false">J20*K20*L20</f>
        <v>18.9</v>
      </c>
      <c r="N20" s="5" t="str">
        <f aca="false">IF(M20&gt;=18,"КРИТИК",IF(M20&gt;=12,"ШОШИЛИНЧ",IF(M20&gt;=4.8,"ОДДИЙ","КЕРАКСИЗ")))</f>
        <v>КРИТИК</v>
      </c>
      <c r="O20" s="8" t="n">
        <v>20</v>
      </c>
      <c r="P20" s="8" t="n">
        <v>30</v>
      </c>
      <c r="Q20" s="10" t="n">
        <v>15000</v>
      </c>
      <c r="R20" s="11" t="n">
        <f aca="false">Q20*'3-ХИСОБ'!$B$9</f>
        <v>7500</v>
      </c>
      <c r="S20" s="10" t="n">
        <v>25</v>
      </c>
      <c r="T20" s="11" t="n">
        <f aca="false">S20*12</f>
        <v>300</v>
      </c>
      <c r="U20" s="12" t="n">
        <f aca="false">IF(T20=0,0,(R20-T20)/T20)</f>
        <v>24</v>
      </c>
      <c r="V20" s="7"/>
      <c r="W20" s="7"/>
    </row>
    <row r="21" customFormat="false" ht="63.75" hidden="false" customHeight="true" outlineLevel="0" collapsed="false">
      <c r="A21" s="5" t="n">
        <v>19</v>
      </c>
      <c r="B21" s="5" t="s">
        <v>159</v>
      </c>
      <c r="C21" s="6" t="s">
        <v>160</v>
      </c>
      <c r="D21" s="5" t="s">
        <v>161</v>
      </c>
      <c r="E21" s="5" t="s">
        <v>162</v>
      </c>
      <c r="F21" s="5" t="s">
        <v>163</v>
      </c>
      <c r="G21" s="5" t="s">
        <v>164</v>
      </c>
      <c r="H21" s="5" t="s">
        <v>165</v>
      </c>
      <c r="I21" s="7" t="s">
        <v>55</v>
      </c>
      <c r="J21" s="8" t="n">
        <v>5</v>
      </c>
      <c r="K21" s="8" t="n">
        <v>0.8</v>
      </c>
      <c r="L21" s="8" t="n">
        <v>2</v>
      </c>
      <c r="M21" s="9" t="n">
        <f aca="false">J21*K21*L21</f>
        <v>8</v>
      </c>
      <c r="N21" s="5" t="str">
        <f aca="false">IF(M21&gt;=18,"КРИТИК",IF(M21&gt;=12,"ШОШИЛИНЧ",IF(M21&gt;=4.8,"ОДДИЙ","КЕРАКСИЗ")))</f>
        <v>ОДДИЙ</v>
      </c>
      <c r="O21" s="8" t="n">
        <v>10</v>
      </c>
      <c r="P21" s="8" t="n">
        <v>12</v>
      </c>
      <c r="Q21" s="10" t="n">
        <v>6000</v>
      </c>
      <c r="R21" s="11" t="n">
        <f aca="false">Q21*'3-ХИСОБ'!$B$9</f>
        <v>3000</v>
      </c>
      <c r="S21" s="10" t="n">
        <v>12</v>
      </c>
      <c r="T21" s="11" t="n">
        <f aca="false">S21*12</f>
        <v>144</v>
      </c>
      <c r="U21" s="12" t="n">
        <f aca="false">IF(T21=0,0,(R21-T21)/T21)</f>
        <v>19.8333333333333</v>
      </c>
      <c r="V21" s="7"/>
      <c r="W21" s="7"/>
    </row>
    <row r="22" customFormat="false" ht="63.75" hidden="false" customHeight="true" outlineLevel="0" collapsed="false">
      <c r="A22" s="5" t="n">
        <v>20</v>
      </c>
      <c r="B22" s="5" t="s">
        <v>166</v>
      </c>
      <c r="C22" s="6" t="s">
        <v>167</v>
      </c>
      <c r="D22" s="5" t="s">
        <v>161</v>
      </c>
      <c r="E22" s="5" t="s">
        <v>168</v>
      </c>
      <c r="F22" s="5" t="s">
        <v>169</v>
      </c>
      <c r="G22" s="5" t="s">
        <v>170</v>
      </c>
      <c r="H22" s="5" t="s">
        <v>110</v>
      </c>
      <c r="I22" s="7" t="s">
        <v>55</v>
      </c>
      <c r="J22" s="8" t="n">
        <v>4</v>
      </c>
      <c r="K22" s="8" t="n">
        <v>0.6</v>
      </c>
      <c r="L22" s="8" t="n">
        <v>2</v>
      </c>
      <c r="M22" s="9" t="n">
        <f aca="false">J22*K22*L22</f>
        <v>4.8</v>
      </c>
      <c r="N22" s="5" t="str">
        <f aca="false">IF(M22&gt;=18,"КРИТИК",IF(M22&gt;=12,"ШОШИЛИНЧ",IF(M22&gt;=4.8,"ОДДИЙ","КЕРАКСИЗ")))</f>
        <v>ОДДИЙ</v>
      </c>
      <c r="O22" s="8" t="n">
        <v>10</v>
      </c>
      <c r="P22" s="8" t="n">
        <v>4</v>
      </c>
      <c r="Q22" s="10" t="n">
        <v>0</v>
      </c>
      <c r="R22" s="11" t="n">
        <f aca="false">Q22*'3-ХИСОБ'!$B$9</f>
        <v>0</v>
      </c>
      <c r="S22" s="10" t="n">
        <v>8</v>
      </c>
      <c r="T22" s="11" t="n">
        <f aca="false">S22*12</f>
        <v>96</v>
      </c>
      <c r="U22" s="12" t="n">
        <f aca="false">IF(T22=0,0,(R22-T22)/T22)</f>
        <v>-1</v>
      </c>
      <c r="V22" s="7"/>
      <c r="W22" s="7"/>
    </row>
    <row r="23" customFormat="false" ht="63.75" hidden="false" customHeight="true" outlineLevel="0" collapsed="false">
      <c r="A23" s="5" t="n">
        <v>21</v>
      </c>
      <c r="B23" s="5" t="s">
        <v>171</v>
      </c>
      <c r="C23" s="6" t="s">
        <v>172</v>
      </c>
      <c r="D23" s="5" t="s">
        <v>173</v>
      </c>
      <c r="E23" s="5" t="s">
        <v>174</v>
      </c>
      <c r="F23" s="5" t="s">
        <v>175</v>
      </c>
      <c r="G23" s="5" t="s">
        <v>176</v>
      </c>
      <c r="H23" s="5" t="s">
        <v>177</v>
      </c>
      <c r="I23" s="7" t="s">
        <v>55</v>
      </c>
      <c r="J23" s="8" t="n">
        <v>6</v>
      </c>
      <c r="K23" s="8" t="n">
        <v>0.9</v>
      </c>
      <c r="L23" s="8" t="n">
        <v>3</v>
      </c>
      <c r="M23" s="9" t="n">
        <f aca="false">J23*K23*L23</f>
        <v>16.2</v>
      </c>
      <c r="N23" s="5" t="str">
        <f aca="false">IF(M23&gt;=18,"КРИТИК",IF(M23&gt;=12,"ШОШИЛИНЧ",IF(M23&gt;=4.8,"ОДДИЙ","КЕРАКСИЗ")))</f>
        <v>ШОШИЛИНЧ</v>
      </c>
      <c r="O23" s="8" t="n">
        <v>8</v>
      </c>
      <c r="P23" s="8" t="n">
        <v>20</v>
      </c>
      <c r="Q23" s="10" t="n">
        <v>0</v>
      </c>
      <c r="R23" s="11" t="n">
        <f aca="false">Q23*'3-ХИСОБ'!$B$9</f>
        <v>0</v>
      </c>
      <c r="S23" s="10" t="n">
        <v>10</v>
      </c>
      <c r="T23" s="11" t="n">
        <f aca="false">S23*12</f>
        <v>120</v>
      </c>
      <c r="U23" s="12" t="n">
        <f aca="false">IF(T23=0,0,(R23-T23)/T23)</f>
        <v>-1</v>
      </c>
      <c r="V23" s="7"/>
      <c r="W23" s="7"/>
    </row>
    <row r="24" customFormat="false" ht="15" hidden="false" customHeight="false" outlineLevel="0" collapsed="false">
      <c r="C24" s="13" t="s">
        <v>178</v>
      </c>
      <c r="O24" s="14" t="n">
        <f aca="false">SUM(O3:O23)</f>
        <v>221</v>
      </c>
      <c r="P24" s="14" t="n">
        <f aca="false">SUM(P3:P23)</f>
        <v>226</v>
      </c>
      <c r="Q24" s="15" t="n">
        <f aca="false">SUM(Q3:Q23)</f>
        <v>148000</v>
      </c>
      <c r="R24" s="15" t="n">
        <f aca="false">SUM(R3:R23)</f>
        <v>74000</v>
      </c>
      <c r="S24" s="15" t="n">
        <f aca="false">SUM(S3:S23)</f>
        <v>201</v>
      </c>
      <c r="T24" s="15" t="n">
        <f aca="false">SUM(T3:T23)</f>
        <v>2412</v>
      </c>
      <c r="U24" s="16" t="n">
        <f aca="false">IF(T24=0,0,(R24-T24)/T24)</f>
        <v>29.6799336650083</v>
      </c>
    </row>
  </sheetData>
  <autoFilter ref="A2:W23"/>
  <mergeCells count="1">
    <mergeCell ref="A1:W1"/>
  </mergeCells>
  <conditionalFormatting sqref="N3:N23">
    <cfRule type="cellIs" priority="2" operator="equal" aboveAverage="0" equalAverage="0" bottom="0" percent="0" rank="0" text="" dxfId="8">
      <formula>"КРИТИК"</formula>
    </cfRule>
    <cfRule type="cellIs" priority="3" operator="equal" aboveAverage="0" equalAverage="0" bottom="0" percent="0" rank="0" text="" dxfId="9">
      <formula>"ШОШИЛИНЧ"</formula>
    </cfRule>
  </conditionalFormatting>
  <conditionalFormatting sqref="I3:I23">
    <cfRule type="cellIs" priority="4" operator="equal" aboveAverage="0" equalAverage="0" bottom="0" percent="0" rank="0" text="" dxfId="10">
      <formula>"ИШЛАЯПТИ"</formula>
    </cfRule>
    <cfRule type="cellIs" priority="5" operator="equal" aboveAverage="0" equalAverage="0" bottom="0" percent="0" rank="0" text="" dxfId="11">
      <formula>"ЯРАТИЛМАГАН"</formula>
    </cfRule>
  </conditionalFormatting>
  <dataValidations count="1">
    <dataValidation allowBlank="true" errorStyle="stop" operator="between" showDropDown="false" showErrorMessage="false" showInputMessage="false" sqref="I3:I23" type="list">
      <formula1>"ЯРАТИЛМАГАН,РЕЖАДА,ҚУРИЛМОҚДА,ТЕСТДА,ИШЛАЯПТИ,ТЎХТАТИЛДИ"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</row>
    <row r="2" customFormat="false" ht="21.75" hidden="false" customHeight="true" outlineLevel="0" collapsed="false">
      <c r="A2" s="4" t="s">
        <v>180</v>
      </c>
      <c r="B2" s="4" t="s">
        <v>181</v>
      </c>
      <c r="C2" s="4" t="s">
        <v>182</v>
      </c>
      <c r="D2" s="4" t="s">
        <v>183</v>
      </c>
    </row>
    <row r="3" customFormat="false" ht="31.5" hidden="false" customHeight="true" outlineLevel="0" collapsed="false">
      <c r="A3" s="2" t="s">
        <v>184</v>
      </c>
      <c r="C3" s="17"/>
      <c r="D3" s="18"/>
    </row>
    <row r="4" customFormat="false" ht="31.5" hidden="false" customHeight="true" outlineLevel="0" collapsed="false">
      <c r="A4" s="3" t="s">
        <v>185</v>
      </c>
      <c r="B4" s="19" t="n">
        <v>1190000</v>
      </c>
      <c r="C4" s="17" t="s">
        <v>186</v>
      </c>
      <c r="D4" s="18" t="s">
        <v>187</v>
      </c>
    </row>
    <row r="5" customFormat="false" ht="31.5" hidden="false" customHeight="true" outlineLevel="0" collapsed="false">
      <c r="A5" s="3" t="s">
        <v>188</v>
      </c>
      <c r="B5" s="19" t="n">
        <v>107000</v>
      </c>
      <c r="C5" s="17" t="s">
        <v>186</v>
      </c>
      <c r="D5" s="18" t="s">
        <v>189</v>
      </c>
    </row>
    <row r="6" customFormat="false" ht="31.5" hidden="false" customHeight="true" outlineLevel="0" collapsed="false">
      <c r="A6" s="3" t="s">
        <v>190</v>
      </c>
      <c r="B6" s="19" t="n">
        <v>29500</v>
      </c>
      <c r="C6" s="17" t="s">
        <v>186</v>
      </c>
      <c r="D6" s="18" t="s">
        <v>191</v>
      </c>
    </row>
    <row r="7" customFormat="false" ht="31.5" hidden="false" customHeight="true" outlineLevel="0" collapsed="false">
      <c r="A7" s="3" t="s">
        <v>192</v>
      </c>
      <c r="B7" s="20" t="n">
        <v>22</v>
      </c>
      <c r="C7" s="17" t="s">
        <v>193</v>
      </c>
      <c r="D7" s="18" t="s">
        <v>194</v>
      </c>
    </row>
    <row r="8" customFormat="false" ht="31.5" hidden="false" customHeight="true" outlineLevel="0" collapsed="false">
      <c r="A8" s="3" t="s">
        <v>195</v>
      </c>
      <c r="B8" s="19" t="n">
        <v>486733</v>
      </c>
      <c r="C8" s="17" t="s">
        <v>186</v>
      </c>
      <c r="D8" s="18" t="s">
        <v>196</v>
      </c>
    </row>
    <row r="9" customFormat="false" ht="45.75" hidden="false" customHeight="true" outlineLevel="0" collapsed="false">
      <c r="A9" s="3" t="s">
        <v>197</v>
      </c>
      <c r="B9" s="21" t="n">
        <v>0.5</v>
      </c>
      <c r="C9" s="17" t="s">
        <v>198</v>
      </c>
      <c r="D9" s="18" t="s">
        <v>199</v>
      </c>
    </row>
    <row r="10" customFormat="false" ht="31.5" hidden="false" customHeight="true" outlineLevel="0" collapsed="false">
      <c r="A10" s="3"/>
      <c r="C10" s="17"/>
      <c r="D10" s="18"/>
    </row>
    <row r="11" customFormat="false" ht="31.5" hidden="false" customHeight="true" outlineLevel="0" collapsed="false">
      <c r="A11" s="2" t="s">
        <v>200</v>
      </c>
      <c r="C11" s="17"/>
      <c r="D11" s="18"/>
    </row>
    <row r="12" customFormat="false" ht="31.5" hidden="false" customHeight="true" outlineLevel="0" collapsed="false">
      <c r="A12" s="2" t="s">
        <v>201</v>
      </c>
      <c r="B12" s="22" t="n">
        <f aca="false">SUM('2-АГЕНТЛАР'!P3:P23)</f>
        <v>226</v>
      </c>
      <c r="C12" s="17" t="s">
        <v>202</v>
      </c>
      <c r="D12" s="18" t="s">
        <v>203</v>
      </c>
    </row>
    <row r="13" customFormat="false" ht="31.5" hidden="false" customHeight="true" outlineLevel="0" collapsed="false">
      <c r="A13" s="2" t="s">
        <v>204</v>
      </c>
      <c r="B13" s="22" t="n">
        <f aca="false">B12*0.4</f>
        <v>90.4</v>
      </c>
      <c r="C13" s="17" t="s">
        <v>202</v>
      </c>
      <c r="D13" s="18" t="s">
        <v>205</v>
      </c>
    </row>
    <row r="14" customFormat="false" ht="31.5" hidden="false" customHeight="true" outlineLevel="0" collapsed="false">
      <c r="A14" s="3" t="s">
        <v>206</v>
      </c>
      <c r="B14" s="20" t="n">
        <v>70</v>
      </c>
      <c r="C14" s="17" t="s">
        <v>202</v>
      </c>
      <c r="D14" s="18" t="s">
        <v>207</v>
      </c>
    </row>
    <row r="15" customFormat="false" ht="31.5" hidden="false" customHeight="true" outlineLevel="0" collapsed="false">
      <c r="A15" s="2" t="s">
        <v>208</v>
      </c>
      <c r="B15" s="22" t="n">
        <f aca="false">MAX(0,B14-(B13/4.33))</f>
        <v>49.1224018475751</v>
      </c>
      <c r="C15" s="17" t="s">
        <v>202</v>
      </c>
      <c r="D15" s="18" t="s">
        <v>209</v>
      </c>
    </row>
    <row r="16" customFormat="false" ht="31.5" hidden="false" customHeight="true" outlineLevel="0" collapsed="false">
      <c r="A16" s="3"/>
      <c r="C16" s="17"/>
      <c r="D16" s="18"/>
    </row>
    <row r="17" customFormat="false" ht="31.5" hidden="false" customHeight="true" outlineLevel="0" collapsed="false">
      <c r="A17" s="2" t="s">
        <v>210</v>
      </c>
      <c r="C17" s="17"/>
      <c r="D17" s="18"/>
    </row>
    <row r="18" customFormat="false" ht="31.5" hidden="false" customHeight="true" outlineLevel="0" collapsed="false">
      <c r="A18" s="2" t="s">
        <v>211</v>
      </c>
      <c r="B18" s="23" t="n">
        <f aca="false">SUM('2-АГЕНТЛАР'!Q3:Q23)</f>
        <v>148000</v>
      </c>
      <c r="C18" s="17" t="s">
        <v>186</v>
      </c>
      <c r="D18" s="18" t="s">
        <v>212</v>
      </c>
    </row>
    <row r="19" customFormat="false" ht="31.5" hidden="false" customHeight="true" outlineLevel="0" collapsed="false">
      <c r="A19" s="2" t="s">
        <v>213</v>
      </c>
      <c r="B19" s="23" t="n">
        <f aca="false">B18*B9</f>
        <v>74000</v>
      </c>
      <c r="C19" s="17" t="s">
        <v>186</v>
      </c>
      <c r="D19" s="18" t="s">
        <v>214</v>
      </c>
    </row>
    <row r="20" customFormat="false" ht="45.75" hidden="false" customHeight="true" outlineLevel="0" collapsed="false">
      <c r="A20" s="2" t="s">
        <v>215</v>
      </c>
      <c r="B20" s="23" t="n">
        <f aca="false">'4-БЮДЖЕТ'!D13</f>
        <v>7080</v>
      </c>
      <c r="C20" s="17" t="s">
        <v>186</v>
      </c>
      <c r="D20" s="18" t="s">
        <v>216</v>
      </c>
    </row>
    <row r="21" customFormat="false" ht="31.5" hidden="false" customHeight="true" outlineLevel="0" collapsed="false">
      <c r="A21" s="2" t="s">
        <v>217</v>
      </c>
      <c r="B21" s="23" t="n">
        <f aca="false">B19-B20</f>
        <v>66920</v>
      </c>
      <c r="C21" s="17" t="s">
        <v>186</v>
      </c>
      <c r="D21" s="18" t="s">
        <v>218</v>
      </c>
    </row>
    <row r="22" customFormat="false" ht="31.5" hidden="false" customHeight="true" outlineLevel="0" collapsed="false">
      <c r="A22" s="2" t="s">
        <v>219</v>
      </c>
      <c r="B22" s="24" t="n">
        <f aca="false">IF(B20=0,0,B21/B20)</f>
        <v>9.45197740112994</v>
      </c>
      <c r="C22" s="17" t="s">
        <v>198</v>
      </c>
      <c r="D22" s="18" t="s">
        <v>220</v>
      </c>
    </row>
    <row r="23" customFormat="false" ht="31.5" hidden="false" customHeight="true" outlineLevel="0" collapsed="false">
      <c r="A23" s="2" t="s">
        <v>221</v>
      </c>
      <c r="B23" s="25" t="n">
        <f aca="false">IF(B19=0,0,B20/(B19/12))</f>
        <v>1.14810810810811</v>
      </c>
      <c r="C23" s="17" t="s">
        <v>222</v>
      </c>
      <c r="D23" s="18" t="s">
        <v>223</v>
      </c>
    </row>
    <row r="24" customFormat="false" ht="31.5" hidden="false" customHeight="true" outlineLevel="0" collapsed="false">
      <c r="A24" s="3"/>
      <c r="C24" s="17"/>
      <c r="D24" s="18"/>
    </row>
    <row r="25" customFormat="false" ht="31.5" hidden="false" customHeight="true" outlineLevel="0" collapsed="false">
      <c r="A25" s="2" t="s">
        <v>224</v>
      </c>
      <c r="C25" s="17"/>
      <c r="D25" s="18"/>
    </row>
    <row r="26" customFormat="false" ht="31.5" hidden="false" customHeight="true" outlineLevel="0" collapsed="false">
      <c r="A26" s="2" t="s">
        <v>225</v>
      </c>
      <c r="B26" s="26" t="n">
        <f aca="false">IF(B4=0,0,B19/B4)</f>
        <v>0.0621848739495798</v>
      </c>
      <c r="C26" s="17" t="s">
        <v>226</v>
      </c>
      <c r="D26" s="18" t="s">
        <v>227</v>
      </c>
    </row>
    <row r="27" customFormat="false" ht="31.5" hidden="false" customHeight="true" outlineLevel="0" collapsed="false">
      <c r="A27" s="2" t="s">
        <v>228</v>
      </c>
      <c r="B27" s="26" t="n">
        <f aca="false">IF(B5=0,0,B19/B5)</f>
        <v>0.691588785046729</v>
      </c>
      <c r="C27" s="17" t="s">
        <v>226</v>
      </c>
      <c r="D27" s="18" t="s">
        <v>229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62"/>
  </cols>
  <sheetData>
    <row r="1" customFormat="false" ht="25.5" hidden="false" customHeight="true" outlineLevel="0" collapsed="false">
      <c r="A1" s="1" t="s">
        <v>230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4" t="s">
        <v>231</v>
      </c>
      <c r="B2" s="4" t="s">
        <v>232</v>
      </c>
      <c r="C2" s="4" t="s">
        <v>233</v>
      </c>
      <c r="D2" s="4" t="s">
        <v>234</v>
      </c>
      <c r="E2" s="4" t="s">
        <v>235</v>
      </c>
      <c r="F2" s="4" t="s">
        <v>236</v>
      </c>
    </row>
    <row r="3" customFormat="false" ht="39.75" hidden="false" customHeight="true" outlineLevel="0" collapsed="false">
      <c r="A3" s="27" t="s">
        <v>237</v>
      </c>
      <c r="B3" s="5" t="s">
        <v>238</v>
      </c>
      <c r="C3" s="10" t="n">
        <v>60</v>
      </c>
      <c r="D3" s="10" t="n">
        <v>100</v>
      </c>
      <c r="E3" s="10" t="n">
        <v>200</v>
      </c>
      <c r="F3" s="5" t="s">
        <v>239</v>
      </c>
    </row>
    <row r="4" customFormat="false" ht="39.75" hidden="false" customHeight="true" outlineLevel="0" collapsed="false">
      <c r="A4" s="27" t="s">
        <v>240</v>
      </c>
      <c r="B4" s="5" t="s">
        <v>241</v>
      </c>
      <c r="C4" s="10" t="n">
        <v>30</v>
      </c>
      <c r="D4" s="10" t="n">
        <v>60</v>
      </c>
      <c r="E4" s="10" t="n">
        <v>120</v>
      </c>
      <c r="F4" s="5" t="s">
        <v>242</v>
      </c>
    </row>
    <row r="5" customFormat="false" ht="39.75" hidden="false" customHeight="true" outlineLevel="0" collapsed="false">
      <c r="A5" s="27" t="s">
        <v>243</v>
      </c>
      <c r="B5" s="5" t="s">
        <v>244</v>
      </c>
      <c r="C5" s="10" t="n">
        <v>0</v>
      </c>
      <c r="D5" s="10" t="n">
        <v>60</v>
      </c>
      <c r="E5" s="10" t="n">
        <v>90</v>
      </c>
      <c r="F5" s="5" t="s">
        <v>245</v>
      </c>
    </row>
    <row r="6" customFormat="false" ht="39.75" hidden="false" customHeight="true" outlineLevel="0" collapsed="false">
      <c r="A6" s="27" t="s">
        <v>246</v>
      </c>
      <c r="B6" s="5" t="s">
        <v>247</v>
      </c>
      <c r="C6" s="10" t="n">
        <v>7</v>
      </c>
      <c r="D6" s="10" t="n">
        <v>10</v>
      </c>
      <c r="E6" s="10" t="n">
        <v>60</v>
      </c>
      <c r="F6" s="5" t="s">
        <v>248</v>
      </c>
    </row>
    <row r="7" customFormat="false" ht="39.75" hidden="false" customHeight="true" outlineLevel="0" collapsed="false">
      <c r="A7" s="27" t="s">
        <v>249</v>
      </c>
      <c r="B7" s="5" t="s">
        <v>250</v>
      </c>
      <c r="C7" s="10" t="n">
        <v>7</v>
      </c>
      <c r="D7" s="10" t="n">
        <v>10</v>
      </c>
      <c r="E7" s="10" t="n">
        <v>25</v>
      </c>
      <c r="F7" s="5" t="s">
        <v>251</v>
      </c>
    </row>
    <row r="8" customFormat="false" ht="39.75" hidden="false" customHeight="true" outlineLevel="0" collapsed="false">
      <c r="A8" s="27" t="s">
        <v>252</v>
      </c>
      <c r="B8" s="5" t="s">
        <v>253</v>
      </c>
      <c r="C8" s="10" t="n">
        <v>0</v>
      </c>
      <c r="D8" s="10" t="n">
        <v>30</v>
      </c>
      <c r="E8" s="10" t="n">
        <v>60</v>
      </c>
      <c r="F8" s="5" t="s">
        <v>254</v>
      </c>
    </row>
    <row r="9" customFormat="false" ht="39.75" hidden="false" customHeight="true" outlineLevel="0" collapsed="false">
      <c r="A9" s="27" t="s">
        <v>255</v>
      </c>
      <c r="B9" s="5" t="s">
        <v>256</v>
      </c>
      <c r="C9" s="10" t="n">
        <v>0</v>
      </c>
      <c r="D9" s="10" t="n">
        <v>0</v>
      </c>
      <c r="E9" s="10" t="n">
        <v>90</v>
      </c>
      <c r="F9" s="5" t="s">
        <v>257</v>
      </c>
    </row>
    <row r="10" customFormat="false" ht="39.75" hidden="false" customHeight="true" outlineLevel="0" collapsed="false">
      <c r="A10" s="27" t="s">
        <v>258</v>
      </c>
      <c r="B10" s="5" t="s">
        <v>259</v>
      </c>
      <c r="C10" s="10" t="n">
        <v>0</v>
      </c>
      <c r="D10" s="10" t="n">
        <v>20</v>
      </c>
      <c r="E10" s="10" t="n">
        <v>40</v>
      </c>
      <c r="F10" s="5" t="s">
        <v>260</v>
      </c>
    </row>
    <row r="11" customFormat="false" ht="39.75" hidden="false" customHeight="true" outlineLevel="0" collapsed="false">
      <c r="A11" s="27" t="s">
        <v>261</v>
      </c>
      <c r="B11" s="5" t="s">
        <v>262</v>
      </c>
      <c r="C11" s="10" t="n">
        <v>0</v>
      </c>
      <c r="D11" s="10" t="n">
        <v>300</v>
      </c>
      <c r="E11" s="10" t="n">
        <v>800</v>
      </c>
      <c r="F11" s="5" t="s">
        <v>263</v>
      </c>
    </row>
    <row r="12" customFormat="false" ht="15" hidden="false" customHeight="false" outlineLevel="0" collapsed="false">
      <c r="A12" s="28" t="s">
        <v>264</v>
      </c>
      <c r="C12" s="29" t="n">
        <f aca="false">SUM(C3:C11)</f>
        <v>104</v>
      </c>
      <c r="D12" s="29" t="n">
        <f aca="false">SUM(D3:D11)</f>
        <v>590</v>
      </c>
      <c r="E12" s="29" t="n">
        <f aca="false">SUM(E3:E11)</f>
        <v>1485</v>
      </c>
    </row>
    <row r="13" customFormat="false" ht="15" hidden="false" customHeight="false" outlineLevel="0" collapsed="false">
      <c r="A13" s="28" t="s">
        <v>265</v>
      </c>
      <c r="C13" s="29" t="n">
        <f aca="false">C12*12</f>
        <v>1248</v>
      </c>
      <c r="D13" s="29" t="n">
        <f aca="false">D12*12</f>
        <v>7080</v>
      </c>
      <c r="E13" s="29" t="n">
        <f aca="false">E12*12</f>
        <v>17820</v>
      </c>
    </row>
    <row r="14" customFormat="false" ht="15" hidden="false" customHeight="false" outlineLevel="0" collapsed="false">
      <c r="A14" s="13" t="s">
        <v>266</v>
      </c>
      <c r="C14" s="26" t="n">
        <f aca="false">C13/('3-ХИСОБ'!$B$6*12)</f>
        <v>0.00352542372881356</v>
      </c>
      <c r="D14" s="26" t="n">
        <f aca="false">D13/('3-ХИСОБ'!$B$6*12)</f>
        <v>0.02</v>
      </c>
      <c r="E14" s="26" t="n">
        <f aca="false">E13/('3-ХИСОБ'!$B$6*12)</f>
        <v>0.0503389830508475</v>
      </c>
    </row>
    <row r="16" customFormat="false" ht="57.75" hidden="false" customHeight="true" outlineLevel="0" collapsed="false">
      <c r="A16" s="30" t="s">
        <v>267</v>
      </c>
      <c r="B16" s="30"/>
      <c r="C16" s="30"/>
      <c r="D16" s="30"/>
      <c r="E16" s="30"/>
      <c r="F16" s="30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268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4" t="s">
        <v>269</v>
      </c>
      <c r="B2" s="4" t="s">
        <v>270</v>
      </c>
      <c r="C2" s="4" t="s">
        <v>271</v>
      </c>
      <c r="D2" s="4" t="s">
        <v>272</v>
      </c>
      <c r="E2" s="4" t="s">
        <v>273</v>
      </c>
      <c r="F2" s="4" t="s">
        <v>33</v>
      </c>
      <c r="G2" s="4" t="s">
        <v>274</v>
      </c>
    </row>
    <row r="3" customFormat="false" ht="42" hidden="false" customHeight="true" outlineLevel="0" collapsed="false">
      <c r="A3" s="27" t="s">
        <v>275</v>
      </c>
      <c r="B3" s="31" t="s">
        <v>276</v>
      </c>
      <c r="C3" s="31" t="s">
        <v>277</v>
      </c>
      <c r="D3" s="31" t="s">
        <v>278</v>
      </c>
      <c r="E3" s="8" t="n">
        <v>22</v>
      </c>
      <c r="F3" s="32" t="s">
        <v>55</v>
      </c>
      <c r="G3" s="32"/>
    </row>
    <row r="4" customFormat="false" ht="42" hidden="false" customHeight="true" outlineLevel="0" collapsed="false">
      <c r="A4" s="27" t="s">
        <v>279</v>
      </c>
      <c r="B4" s="31" t="s">
        <v>280</v>
      </c>
      <c r="C4" s="31" t="s">
        <v>281</v>
      </c>
      <c r="D4" s="31" t="s">
        <v>282</v>
      </c>
      <c r="E4" s="8" t="n">
        <v>18</v>
      </c>
      <c r="F4" s="32" t="s">
        <v>55</v>
      </c>
      <c r="G4" s="32"/>
    </row>
    <row r="5" customFormat="false" ht="42" hidden="false" customHeight="true" outlineLevel="0" collapsed="false">
      <c r="A5" s="27" t="s">
        <v>283</v>
      </c>
      <c r="B5" s="31" t="s">
        <v>284</v>
      </c>
      <c r="C5" s="31" t="s">
        <v>285</v>
      </c>
      <c r="D5" s="31" t="s">
        <v>286</v>
      </c>
      <c r="E5" s="8" t="n">
        <v>20</v>
      </c>
      <c r="F5" s="32" t="s">
        <v>55</v>
      </c>
      <c r="G5" s="32"/>
    </row>
    <row r="6" customFormat="false" ht="42" hidden="false" customHeight="true" outlineLevel="0" collapsed="false">
      <c r="A6" s="27" t="s">
        <v>287</v>
      </c>
      <c r="B6" s="31" t="s">
        <v>288</v>
      </c>
      <c r="C6" s="31" t="s">
        <v>289</v>
      </c>
      <c r="D6" s="31" t="s">
        <v>290</v>
      </c>
      <c r="E6" s="8" t="n">
        <v>22</v>
      </c>
      <c r="F6" s="32" t="s">
        <v>55</v>
      </c>
      <c r="G6" s="32"/>
    </row>
    <row r="7" customFormat="false" ht="42" hidden="false" customHeight="true" outlineLevel="0" collapsed="false">
      <c r="A7" s="27" t="s">
        <v>291</v>
      </c>
      <c r="B7" s="31" t="s">
        <v>292</v>
      </c>
      <c r="C7" s="31" t="s">
        <v>293</v>
      </c>
      <c r="D7" s="31" t="s">
        <v>294</v>
      </c>
      <c r="E7" s="8" t="n">
        <v>22</v>
      </c>
      <c r="F7" s="32" t="s">
        <v>55</v>
      </c>
      <c r="G7" s="32"/>
    </row>
    <row r="8" customFormat="false" ht="42" hidden="false" customHeight="true" outlineLevel="0" collapsed="false">
      <c r="A8" s="27" t="s">
        <v>295</v>
      </c>
      <c r="B8" s="31" t="s">
        <v>296</v>
      </c>
      <c r="C8" s="31" t="s">
        <v>297</v>
      </c>
      <c r="D8" s="31" t="s">
        <v>298</v>
      </c>
      <c r="E8" s="8" t="n">
        <v>34</v>
      </c>
      <c r="F8" s="32" t="s">
        <v>55</v>
      </c>
      <c r="G8" s="32"/>
    </row>
    <row r="9" customFormat="false" ht="15" hidden="false" customHeight="false" outlineLevel="0" collapsed="false">
      <c r="D9" s="13" t="s">
        <v>299</v>
      </c>
      <c r="E9" s="33" t="n">
        <f aca="false">SUM(E3:E8)</f>
        <v>138</v>
      </c>
    </row>
    <row r="11" customFormat="false" ht="43.5" hidden="false" customHeight="true" outlineLevel="0" collapsed="false">
      <c r="A11" s="30" t="s">
        <v>300</v>
      </c>
      <c r="B11" s="30"/>
      <c r="C11" s="30"/>
      <c r="D11" s="30"/>
      <c r="E11" s="30"/>
      <c r="F11" s="30"/>
      <c r="G11" s="30"/>
    </row>
  </sheetData>
  <mergeCells count="2">
    <mergeCell ref="A1:G1"/>
    <mergeCell ref="A11:G11"/>
  </mergeCells>
  <dataValidations count="1">
    <dataValidation allowBlank="true" errorStyle="stop" operator="between" showDropDown="false" showErrorMessage="false" showInputMessage="false" sqref="F3:F8" type="list">
      <formula1>"ЯРАТИЛМАГАН,РЕЖАДА,ҚУРИЛМОҚДА,ТЕСТДА,ИШЛАЯПТИ,ТЎХТАТИЛДИ"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74"/>
    <col collapsed="false" customWidth="true" hidden="false" outlineLevel="0" max="5" min="5" style="0" width="4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301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4" t="s">
        <v>26</v>
      </c>
      <c r="B2" s="4" t="s">
        <v>302</v>
      </c>
      <c r="C2" s="4" t="s">
        <v>303</v>
      </c>
      <c r="D2" s="4" t="s">
        <v>304</v>
      </c>
      <c r="E2" s="4" t="s">
        <v>305</v>
      </c>
      <c r="F2" s="4" t="s">
        <v>37</v>
      </c>
      <c r="G2" s="4" t="s">
        <v>306</v>
      </c>
    </row>
    <row r="3" customFormat="false" ht="66" hidden="false" customHeight="true" outlineLevel="0" collapsed="false">
      <c r="A3" s="34" t="s">
        <v>307</v>
      </c>
      <c r="B3" s="27" t="s">
        <v>308</v>
      </c>
      <c r="C3" s="5" t="s">
        <v>309</v>
      </c>
      <c r="D3" s="5" t="s">
        <v>310</v>
      </c>
      <c r="E3" s="5" t="s">
        <v>311</v>
      </c>
      <c r="F3" s="35" t="n">
        <v>0.6</v>
      </c>
      <c r="G3" s="36" t="s">
        <v>312</v>
      </c>
    </row>
    <row r="4" customFormat="false" ht="66" hidden="false" customHeight="true" outlineLevel="0" collapsed="false">
      <c r="A4" s="34" t="s">
        <v>313</v>
      </c>
      <c r="B4" s="27" t="s">
        <v>314</v>
      </c>
      <c r="C4" s="5" t="s">
        <v>315</v>
      </c>
      <c r="D4" s="5" t="s">
        <v>316</v>
      </c>
      <c r="E4" s="5" t="s">
        <v>317</v>
      </c>
      <c r="F4" s="35" t="n">
        <v>0.6</v>
      </c>
      <c r="G4" s="36" t="s">
        <v>312</v>
      </c>
    </row>
    <row r="5" customFormat="false" ht="66" hidden="false" customHeight="true" outlineLevel="0" collapsed="false">
      <c r="A5" s="34" t="s">
        <v>318</v>
      </c>
      <c r="B5" s="27" t="s">
        <v>319</v>
      </c>
      <c r="C5" s="5" t="s">
        <v>320</v>
      </c>
      <c r="D5" s="5" t="s">
        <v>321</v>
      </c>
      <c r="E5" s="5" t="s">
        <v>322</v>
      </c>
      <c r="F5" s="35" t="n">
        <v>0.4</v>
      </c>
      <c r="G5" s="36" t="s">
        <v>312</v>
      </c>
    </row>
    <row r="6" customFormat="false" ht="66" hidden="false" customHeight="true" outlineLevel="0" collapsed="false">
      <c r="A6" s="34" t="s">
        <v>323</v>
      </c>
      <c r="B6" s="27" t="s">
        <v>324</v>
      </c>
      <c r="C6" s="5" t="s">
        <v>325</v>
      </c>
      <c r="D6" s="5" t="s">
        <v>326</v>
      </c>
      <c r="E6" s="5" t="s">
        <v>327</v>
      </c>
      <c r="F6" s="35" t="n">
        <v>0.9</v>
      </c>
      <c r="G6" s="36" t="s">
        <v>312</v>
      </c>
    </row>
    <row r="8" customFormat="false" ht="39.75" hidden="false" customHeight="true" outlineLevel="0" collapsed="false">
      <c r="A8" s="37" t="s">
        <v>328</v>
      </c>
      <c r="B8" s="37"/>
      <c r="C8" s="37"/>
      <c r="D8" s="37"/>
      <c r="E8" s="37"/>
      <c r="F8" s="37"/>
      <c r="G8" s="37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" t="s">
        <v>329</v>
      </c>
      <c r="B1" s="1"/>
      <c r="C1" s="1"/>
      <c r="D1" s="1"/>
    </row>
    <row r="2" customFormat="false" ht="21.75" hidden="false" customHeight="true" outlineLevel="0" collapsed="false">
      <c r="A2" s="4" t="s">
        <v>180</v>
      </c>
      <c r="B2" s="4" t="s">
        <v>181</v>
      </c>
      <c r="C2" s="4"/>
      <c r="D2" s="4" t="s">
        <v>236</v>
      </c>
    </row>
    <row r="3" customFormat="false" ht="24" hidden="false" customHeight="true" outlineLevel="0" collapsed="false">
      <c r="A3" s="13" t="s">
        <v>330</v>
      </c>
      <c r="B3" s="38" t="n">
        <f aca="false">COUNTA('2-АГЕНТЛАР'!B3:B23)</f>
        <v>21</v>
      </c>
      <c r="C3" s="39"/>
      <c r="D3" s="18" t="s">
        <v>331</v>
      </c>
    </row>
    <row r="4" customFormat="false" ht="24" hidden="false" customHeight="true" outlineLevel="0" collapsed="false">
      <c r="A4" s="13" t="s">
        <v>332</v>
      </c>
      <c r="B4" s="38" t="n">
        <f aca="false">COUNTIF('2-АГЕНТЛАР'!N3:N23,"КРИТИК")</f>
        <v>10</v>
      </c>
      <c r="C4" s="39"/>
      <c r="D4" s="18" t="s">
        <v>333</v>
      </c>
    </row>
    <row r="5" customFormat="false" ht="24" hidden="false" customHeight="true" outlineLevel="0" collapsed="false">
      <c r="A5" s="13" t="s">
        <v>334</v>
      </c>
      <c r="B5" s="38" t="n">
        <f aca="false">COUNTIF('2-АГЕНТЛАР'!N3:N23,"ШОШИЛИНЧ")</f>
        <v>6</v>
      </c>
      <c r="C5" s="39"/>
      <c r="D5" s="18" t="s">
        <v>335</v>
      </c>
    </row>
    <row r="6" customFormat="false" ht="24" hidden="false" customHeight="true" outlineLevel="0" collapsed="false">
      <c r="A6" s="13" t="s">
        <v>336</v>
      </c>
      <c r="B6" s="38" t="n">
        <f aca="false">COUNTIF('2-АГЕНТЛАР'!N3:N23,"ОДДИЙ")</f>
        <v>5</v>
      </c>
      <c r="C6" s="39"/>
      <c r="D6" s="18" t="s">
        <v>337</v>
      </c>
    </row>
    <row r="7" customFormat="false" ht="24" hidden="false" customHeight="true" outlineLevel="0" collapsed="false">
      <c r="A7" s="13"/>
      <c r="C7" s="39"/>
      <c r="D7" s="18"/>
    </row>
    <row r="8" customFormat="false" ht="24" hidden="false" customHeight="true" outlineLevel="0" collapsed="false">
      <c r="A8" s="13" t="s">
        <v>338</v>
      </c>
      <c r="B8" s="38" t="n">
        <f aca="false">COUNTIF('2-АГЕНТЛАР'!I3:I23,"ИШЛАЯПТИ")</f>
        <v>0</v>
      </c>
      <c r="C8" s="39"/>
      <c r="D8" s="18" t="s">
        <v>339</v>
      </c>
    </row>
    <row r="9" customFormat="false" ht="24" hidden="false" customHeight="true" outlineLevel="0" collapsed="false">
      <c r="A9" s="13" t="s">
        <v>340</v>
      </c>
      <c r="B9" s="38" t="n">
        <f aca="false">COUNTIF('2-АГЕНТЛАР'!I3:I23,"ҚУРИЛМОҚДА")+COUNTIF('2-АГЕНТЛАР'!I3:I23,"ТЕСТДА")</f>
        <v>0</v>
      </c>
      <c r="C9" s="39"/>
      <c r="D9" s="18" t="s">
        <v>341</v>
      </c>
    </row>
    <row r="10" customFormat="false" ht="24" hidden="false" customHeight="true" outlineLevel="0" collapsed="false">
      <c r="A10" s="13" t="s">
        <v>55</v>
      </c>
      <c r="B10" s="38" t="n">
        <f aca="false">COUNTIF('2-АГЕНТЛАР'!I3:I23,"ЯРАТИЛМАГАН")</f>
        <v>21</v>
      </c>
      <c r="C10" s="39"/>
      <c r="D10" s="18" t="s">
        <v>342</v>
      </c>
    </row>
    <row r="11" customFormat="false" ht="24" hidden="false" customHeight="true" outlineLevel="0" collapsed="false">
      <c r="A11" s="13" t="s">
        <v>343</v>
      </c>
      <c r="B11" s="40" t="n">
        <f aca="false">IF(COUNTA('2-АГЕНТЛАР'!B3:B23)=0,0,COUNTIF('2-АГЕНТЛАР'!I3:I23,"ИШЛАЯПТИ")/COUNTA('2-АГЕНТЛАР'!B3:B23))</f>
        <v>0</v>
      </c>
      <c r="C11" s="39"/>
      <c r="D11" s="18" t="s">
        <v>344</v>
      </c>
    </row>
    <row r="12" customFormat="false" ht="24" hidden="false" customHeight="true" outlineLevel="0" collapsed="false">
      <c r="A12" s="13"/>
      <c r="C12" s="39"/>
      <c r="D12" s="18"/>
    </row>
    <row r="13" customFormat="false" ht="24" hidden="false" customHeight="true" outlineLevel="0" collapsed="false">
      <c r="A13" s="13" t="s">
        <v>345</v>
      </c>
      <c r="B13" s="41" t="n">
        <f aca="false">'3-ХИСОБ'!B12</f>
        <v>226</v>
      </c>
      <c r="C13" s="39" t="s">
        <v>202</v>
      </c>
      <c r="D13" s="18" t="s">
        <v>346</v>
      </c>
    </row>
    <row r="14" customFormat="false" ht="24" hidden="false" customHeight="true" outlineLevel="0" collapsed="false">
      <c r="A14" s="13" t="s">
        <v>347</v>
      </c>
      <c r="B14" s="42" t="n">
        <f aca="false">'3-ХИСОБ'!B19</f>
        <v>74000</v>
      </c>
      <c r="C14" s="39" t="s">
        <v>186</v>
      </c>
      <c r="D14" s="18" t="s">
        <v>348</v>
      </c>
    </row>
    <row r="15" customFormat="false" ht="24" hidden="false" customHeight="true" outlineLevel="0" collapsed="false">
      <c r="A15" s="13" t="s">
        <v>349</v>
      </c>
      <c r="B15" s="42" t="n">
        <f aca="false">'3-ХИСОБ'!B20</f>
        <v>7080</v>
      </c>
      <c r="C15" s="39" t="s">
        <v>186</v>
      </c>
      <c r="D15" s="18" t="s">
        <v>350</v>
      </c>
    </row>
    <row r="16" customFormat="false" ht="24" hidden="false" customHeight="true" outlineLevel="0" collapsed="false">
      <c r="A16" s="13" t="s">
        <v>351</v>
      </c>
      <c r="B16" s="42" t="n">
        <f aca="false">'3-ХИСОБ'!B21</f>
        <v>66920</v>
      </c>
      <c r="C16" s="39" t="s">
        <v>186</v>
      </c>
      <c r="D16" s="18" t="s">
        <v>352</v>
      </c>
    </row>
    <row r="17" customFormat="false" ht="24" hidden="false" customHeight="true" outlineLevel="0" collapsed="false">
      <c r="A17" s="13" t="s">
        <v>353</v>
      </c>
      <c r="B17" s="43" t="n">
        <f aca="false">'3-ХИСОБ'!B22</f>
        <v>9.45197740112994</v>
      </c>
      <c r="C17" s="39" t="s">
        <v>198</v>
      </c>
      <c r="D17" s="18" t="s">
        <v>354</v>
      </c>
    </row>
    <row r="18" customFormat="false" ht="24" hidden="false" customHeight="true" outlineLevel="0" collapsed="false">
      <c r="A18" s="13"/>
      <c r="C18" s="39"/>
      <c r="D18" s="18"/>
    </row>
    <row r="19" customFormat="false" ht="24" hidden="false" customHeight="true" outlineLevel="0" collapsed="false">
      <c r="A19" s="13" t="s">
        <v>355</v>
      </c>
      <c r="B19" s="44"/>
      <c r="C19" s="44"/>
      <c r="D19" s="44"/>
    </row>
  </sheetData>
  <mergeCells count="2">
    <mergeCell ref="A1:D1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2026-08-25T08:00:44Z</dcterms:created>
  <dc:creator>openpyxl</dc:creator>
  <dc:description/>
  <dc:language>en-US</dc:language>
  <cp:lastModifiedBy/>
  <dcterms:modified xsi:type="dcterms:W3CDTF">2026-08-25T08:00:45Z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